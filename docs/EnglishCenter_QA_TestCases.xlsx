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Plan" sheetId="1" state="visible" r:id="rId1"/>
    <sheet name="Requirements" sheetId="2" state="visible" r:id="rId2"/>
    <sheet name="Test Cases" sheetId="3" state="visible" r:id="rId3"/>
    <sheet name="RTM" sheetId="4" state="visible" r:id="rId4"/>
    <sheet name="Smoke Checklist" sheetId="5" state="visible" r:id="rId5"/>
    <sheet name="Regression Checklist" sheetId="6" state="visible" r:id="rId6"/>
    <sheet name="Bug Log" sheetId="7" state="visible" r:id="rId7"/>
    <sheet name="Test Summary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9595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0B4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estPlanTable" displayName="TestPlanTable" ref="A4:D29" headerRowCount="1">
  <autoFilter ref="A4:D29"/>
  <tableColumns count="4">
    <tableColumn id="1" name="Nhóm"/>
    <tableColumn id="2" name="Hạng mục"/>
    <tableColumn id="3" name="Nội dung"/>
    <tableColumn id="4" name="Owner/Trạng thá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quirementsTable" displayName="RequirementsTable" ref="A4:F56" headerRowCount="1">
  <autoFilter ref="A4:F56"/>
  <tableColumns count="6">
    <tableColumn id="1" name="REQ ID"/>
    <tableColumn id="2" name="Module"/>
    <tableColumn id="3" name="Mô tả yêu cầu"/>
    <tableColumn id="4" name="Ưu tiên"/>
    <tableColumn id="5" name="Nguồn"/>
    <tableColumn id="6" name="Trạng thá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estCasesTable" displayName="TestCasesTable" ref="A4:P94" headerRowCount="1">
  <autoFilter ref="A4:P94"/>
  <tableColumns count="16">
    <tableColumn id="1" name="TC ID"/>
    <tableColumn id="2" name="Module"/>
    <tableColumn id="3" name="REQ ID"/>
    <tableColumn id="4" name="Tiêu đề"/>
    <tableColumn id="5" name="Ưu tiên"/>
    <tableColumn id="6" name="Loại"/>
    <tableColumn id="7" name="Tiền điều kiện"/>
    <tableColumn id="8" name="Dữ liệu kiểm thử"/>
    <tableColumn id="9" name="Các bước thực hiện"/>
    <tableColumn id="10" name="Kết quả mong đợi"/>
    <tableColumn id="11" name="Kết quả thực tế"/>
    <tableColumn id="12" name="Trạng thái"/>
    <tableColumn id="13" name="Mức độ nếu lỗi"/>
    <tableColumn id="14" name="Người kiểm thử"/>
    <tableColumn id="15" name="Ngày chạy"/>
    <tableColumn id="16" name="Ghi ch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TMTable" displayName="RTMTable" ref="A4:J56" headerRowCount="1">
  <autoFilter ref="A4:J56"/>
  <tableColumns count="10">
    <tableColumn id="1" name="REQ ID"/>
    <tableColumn id="2" name="Module"/>
    <tableColumn id="3" name="Yêu cầu"/>
    <tableColumn id="4" name="Test Case IDs"/>
    <tableColumn id="5" name="Số TC"/>
    <tableColumn id="6" name="Pass"/>
    <tableColumn id="7" name="Fail"/>
    <tableColumn id="8" name="Blocked"/>
    <tableColumn id="9" name="Coverage"/>
    <tableColumn id="10" name="Kết quả mới nhấ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mokeTable" displayName="SmokeTable" ref="A4:G18" headerRowCount="1">
  <autoFilter ref="A4:G18"/>
  <tableColumns count="7">
    <tableColumn id="1" name="Smoke ID"/>
    <tableColumn id="2" name="Khu vực"/>
    <tableColumn id="3" name="Kiểm tra"/>
    <tableColumn id="4" name="Kết quả mong đợi"/>
    <tableColumn id="5" name="Trạng thái"/>
    <tableColumn id="6" name="Người chạy"/>
    <tableColumn id="7" name="Ghi chú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gressionTable" displayName="RegressionTable" ref="A4:H18" headerRowCount="1">
  <autoFilter ref="A4:H18"/>
  <tableColumns count="8">
    <tableColumn id="1" name="REG ID"/>
    <tableColumn id="2" name="Vùng thay đổi"/>
    <tableColumn id="3" name="Trigger"/>
    <tableColumn id="4" name="Kiểm tra bắt buộc"/>
    <tableColumn id="5" name="TC tham chiếu"/>
    <tableColumn id="6" name="Trạng thái"/>
    <tableColumn id="7" name="Người chạy"/>
    <tableColumn id="8" name="Ghi chú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BugLogTable" displayName="BugLogTable" ref="A4:M34" headerRowCount="1">
  <autoFilter ref="A4:M34"/>
  <tableColumns count="13">
    <tableColumn id="1" name="Bug ID"/>
    <tableColumn id="2" name="Linked TC"/>
    <tableColumn id="3" name="Module"/>
    <tableColumn id="4" name="Severity"/>
    <tableColumn id="5" name="Tiêu đề"/>
    <tableColumn id="6" name="Bước tái hiện"/>
    <tableColumn id="7" name="Kết quả mong đợi"/>
    <tableColumn id="8" name="Kết quả thực tế"/>
    <tableColumn id="9" name="Owner"/>
    <tableColumn id="10" name="Trạng thái"/>
    <tableColumn id="11" name="Ngày tạo"/>
    <tableColumn id="12" name="Ngày retest"/>
    <tableColumn id="13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92" customWidth="1" min="3" max="3"/>
    <col width="22" customWidth="1" min="4" max="4"/>
  </cols>
  <sheetData>
    <row r="1" ht="28" customHeight="1">
      <c r="A1" s="1" t="inlineStr">
        <is>
          <t>TEST PLAN - ENGLISH CENTER MVC</t>
        </is>
      </c>
    </row>
    <row r="2" ht="30" customHeight="1">
      <c r="A2" s="2" t="inlineStr">
        <is>
          <t>Baseline QA theo Waterfall | Cập nhật: 2026-09-23</t>
        </is>
      </c>
    </row>
    <row r="4" ht="32" customHeight="1">
      <c r="A4" s="3" t="inlineStr">
        <is>
          <t>Nhóm</t>
        </is>
      </c>
      <c r="B4" s="3" t="inlineStr">
        <is>
          <t>Hạng mục</t>
        </is>
      </c>
      <c r="C4" s="3" t="inlineStr">
        <is>
          <t>Nội dung</t>
        </is>
      </c>
      <c r="D4" s="3" t="inlineStr">
        <is>
          <t>Owner/Trạng thái</t>
        </is>
      </c>
    </row>
    <row r="5">
      <c r="A5" s="4" t="inlineStr">
        <is>
          <t>Thông tin</t>
        </is>
      </c>
      <c r="B5" s="4" t="inlineStr">
        <is>
          <t>Dự án</t>
        </is>
      </c>
      <c r="C5" s="4" t="inlineStr">
        <is>
          <t>Hệ thống quản lý học viên trung tâm tiếng Anh</t>
        </is>
      </c>
      <c r="D5" s="4" t="inlineStr">
        <is>
          <t>Project Lead</t>
        </is>
      </c>
    </row>
    <row r="6">
      <c r="A6" s="4" t="inlineStr">
        <is>
          <t>Thông tin</t>
        </is>
      </c>
      <c r="B6" s="4" t="inlineStr">
        <is>
          <t>Phiên bản</t>
        </is>
      </c>
      <c r="C6" s="4" t="inlineStr">
        <is>
          <t>QA Baseline v1.0</t>
        </is>
      </c>
      <c r="D6" s="4" t="inlineStr">
        <is>
          <t>Approved</t>
        </is>
      </c>
    </row>
    <row r="7">
      <c r="A7" s="4" t="inlineStr">
        <is>
          <t>Phạm vi</t>
        </is>
      </c>
      <c r="B7" s="4" t="inlineStr">
        <is>
          <t>In scope</t>
        </is>
      </c>
      <c r="C7" s="4" t="inlineStr">
        <is>
          <t>Auth; Course; Class; Enrollment; Attendance; Grade; Search/Filter/Pagination; Authorization</t>
        </is>
      </c>
      <c r="D7" s="4" t="inlineStr">
        <is>
          <t>QA</t>
        </is>
      </c>
    </row>
    <row r="8">
      <c r="A8" s="4" t="inlineStr">
        <is>
          <t>Phạm vi</t>
        </is>
      </c>
      <c r="B8" s="4" t="inlineStr">
        <is>
          <t>Out of scope</t>
        </is>
      </c>
      <c r="C8" s="4" t="inlineStr">
        <is>
          <t>Online payment; email/SMS; public API; performance/load; production deployment</t>
        </is>
      </c>
      <c r="D8" s="4" t="inlineStr">
        <is>
          <t>Agreed</t>
        </is>
      </c>
    </row>
    <row r="9">
      <c r="A9" s="4" t="inlineStr">
        <is>
          <t>Môi trường</t>
        </is>
      </c>
      <c r="B9" s="4" t="inlineStr">
        <is>
          <t>Stack</t>
        </is>
      </c>
      <c r="C9" s="4" t="inlineStr">
        <is>
          <t>.NET 10; ASP.NET Core MVC; EF Core; SQL Server; cookie auth</t>
        </is>
      </c>
      <c r="D9" s="4" t="inlineStr">
        <is>
          <t>Dev</t>
        </is>
      </c>
    </row>
    <row r="10">
      <c r="A10" s="4" t="inlineStr">
        <is>
          <t>Môi trường</t>
        </is>
      </c>
      <c r="B10" s="4" t="inlineStr">
        <is>
          <t>Trình duyệt</t>
        </is>
      </c>
      <c r="C10" s="4" t="inlineStr">
        <is>
          <t>Chrome và Edge stable; desktop 1366x768 trở lên</t>
        </is>
      </c>
      <c r="D10" s="4" t="inlineStr">
        <is>
          <t>QA</t>
        </is>
      </c>
    </row>
    <row r="11">
      <c r="A11" s="4" t="inlineStr">
        <is>
          <t>Môi trường</t>
        </is>
      </c>
      <c r="B11" s="4" t="inlineStr">
        <is>
          <t>Build</t>
        </is>
      </c>
      <c r="C11" s="4" t="inlineStr">
        <is>
          <t>dotnet build Assignment.slnx --no-restore</t>
        </is>
      </c>
      <c r="D11" s="4" t="inlineStr">
        <is>
          <t>Exit code 0</t>
        </is>
      </c>
    </row>
    <row r="12">
      <c r="A12" s="4" t="inlineStr">
        <is>
          <t>Tài khoản</t>
        </is>
      </c>
      <c r="B12" s="4" t="inlineStr">
        <is>
          <t>Admin</t>
        </is>
      </c>
      <c r="C12" s="4" t="inlineStr">
        <is>
          <t>admin / admin@123</t>
        </is>
      </c>
      <c r="D12" s="4" t="inlineStr">
        <is>
          <t>Seed</t>
        </is>
      </c>
    </row>
    <row r="13">
      <c r="A13" s="4" t="inlineStr">
        <is>
          <t>Tài khoản</t>
        </is>
      </c>
      <c r="B13" s="4" t="inlineStr">
        <is>
          <t>GiaoVu</t>
        </is>
      </c>
      <c r="C13" s="4" t="inlineStr">
        <is>
          <t>giaovu01 / giaovu@123</t>
        </is>
      </c>
      <c r="D13" s="4" t="inlineStr">
        <is>
          <t>Seed</t>
        </is>
      </c>
    </row>
    <row r="14">
      <c r="A14" s="4" t="inlineStr">
        <is>
          <t>Tài khoản</t>
        </is>
      </c>
      <c r="B14" s="4" t="inlineStr">
        <is>
          <t>SinhVien 1</t>
        </is>
      </c>
      <c r="C14" s="4" t="inlineStr">
        <is>
          <t>sv2026001 / 123456</t>
        </is>
      </c>
      <c r="D14" s="4" t="inlineStr">
        <is>
          <t>Seed</t>
        </is>
      </c>
    </row>
    <row r="15">
      <c r="A15" s="4" t="inlineStr">
        <is>
          <t>Tài khoản</t>
        </is>
      </c>
      <c r="B15" s="4" t="inlineStr">
        <is>
          <t>SinhVien 2</t>
        </is>
      </c>
      <c r="C15" s="4" t="inlineStr">
        <is>
          <t>sv2026002 / 123456</t>
        </is>
      </c>
      <c r="D15" s="4" t="inlineStr">
        <is>
          <t>Seed</t>
        </is>
      </c>
    </row>
    <row r="16">
      <c r="A16" s="4" t="inlineStr">
        <is>
          <t>Entry</t>
        </is>
      </c>
      <c r="B16" s="4" t="inlineStr">
        <is>
          <t>Requirement</t>
        </is>
      </c>
      <c r="C16" s="4" t="inlineStr">
        <is>
          <t>Requirement baseline được duyệt và mỗi requirement có REQ ID.</t>
        </is>
      </c>
      <c r="D16" s="4" t="inlineStr">
        <is>
          <t>Required</t>
        </is>
      </c>
    </row>
    <row r="17">
      <c r="A17" s="4" t="inlineStr">
        <is>
          <t>Entry</t>
        </is>
      </c>
      <c r="B17" s="4" t="inlineStr">
        <is>
          <t>Build &amp; data</t>
        </is>
      </c>
      <c r="C17" s="4" t="inlineStr">
        <is>
          <t>Build pass; database test/seed sẵn sàng; không có blocker môi trường.</t>
        </is>
      </c>
      <c r="D17" s="4" t="inlineStr">
        <is>
          <t>Required</t>
        </is>
      </c>
    </row>
    <row r="18">
      <c r="A18" s="4" t="inlineStr">
        <is>
          <t>Exit</t>
        </is>
      </c>
      <c r="B18" s="4" t="inlineStr">
        <is>
          <t>Smoke</t>
        </is>
      </c>
      <c r="C18" s="4" t="inlineStr">
        <is>
          <t>100% smoke test Pass.</t>
        </is>
      </c>
      <c r="D18" s="4" t="inlineStr">
        <is>
          <t>Required</t>
        </is>
      </c>
    </row>
    <row r="19">
      <c r="A19" s="4" t="inlineStr">
        <is>
          <t>Exit</t>
        </is>
      </c>
      <c r="B19" s="4" t="inlineStr">
        <is>
          <t>Functional</t>
        </is>
      </c>
      <c r="C19" s="4" t="inlineStr">
        <is>
          <t>&gt;= 95% test đã chạy Pass; N/A không tính vào mẫu số.</t>
        </is>
      </c>
      <c r="D19" s="4" t="inlineStr">
        <is>
          <t>Required</t>
        </is>
      </c>
    </row>
    <row r="20">
      <c r="A20" s="4" t="inlineStr">
        <is>
          <t>Exit</t>
        </is>
      </c>
      <c r="B20" s="4" t="inlineStr">
        <is>
          <t>Defect</t>
        </is>
      </c>
      <c r="C20" s="4" t="inlineStr">
        <is>
          <t>Không còn bug Blocker/Critical mở; bug còn lại có owner/quyết định.</t>
        </is>
      </c>
      <c r="D20" s="4" t="inlineStr">
        <is>
          <t>Required</t>
        </is>
      </c>
    </row>
    <row r="21">
      <c r="A21" s="4" t="inlineStr">
        <is>
          <t>Quy trình</t>
        </is>
      </c>
      <c r="B21" s="4" t="inlineStr">
        <is>
          <t>Thứ tự</t>
        </is>
      </c>
      <c r="C21" s="4" t="inlineStr">
        <is>
          <t>Build -&gt; Smoke -&gt; Functional -&gt; Authorization -&gt; Regression -&gt; Retest -&gt; Sign-off</t>
        </is>
      </c>
      <c r="D21" s="4" t="inlineStr">
        <is>
          <t>QA Lead</t>
        </is>
      </c>
    </row>
    <row r="22">
      <c r="A22" s="4" t="inlineStr">
        <is>
          <t>Quy trình</t>
        </is>
      </c>
      <c r="B22" s="4" t="inlineStr">
        <is>
          <t>Evidence</t>
        </is>
      </c>
      <c r="C22" s="4" t="inlineStr">
        <is>
          <t>Cập nhật Actual Result, Status, Tester, Date; mỗi Fail phải có Bug Log liên kết.</t>
        </is>
      </c>
      <c r="D22" s="4" t="inlineStr">
        <is>
          <t>QA</t>
        </is>
      </c>
    </row>
    <row r="23">
      <c r="A23" s="4" t="inlineStr">
        <is>
          <t>Timeline</t>
        </is>
      </c>
      <c r="B23" s="4" t="inlineStr">
        <is>
          <t>Tuần 1</t>
        </is>
      </c>
      <c r="C23" s="4" t="inlineStr">
        <is>
          <t>Requirements + Analysis</t>
        </is>
      </c>
      <c r="D23" s="4" t="inlineStr">
        <is>
          <t>Gate 1</t>
        </is>
      </c>
    </row>
    <row r="24">
      <c r="A24" s="4" t="inlineStr">
        <is>
          <t>Timeline</t>
        </is>
      </c>
      <c r="B24" s="4" t="inlineStr">
        <is>
          <t>Tuần 2</t>
        </is>
      </c>
      <c r="C24" s="4" t="inlineStr">
        <is>
          <t>Design + Course/Class implementation</t>
        </is>
      </c>
      <c r="D24" s="4" t="inlineStr">
        <is>
          <t>Gate 2</t>
        </is>
      </c>
    </row>
    <row r="25">
      <c r="A25" s="4" t="inlineStr">
        <is>
          <t>Timeline</t>
        </is>
      </c>
      <c r="B25" s="4" t="inlineStr">
        <is>
          <t>Tuần 3</t>
        </is>
      </c>
      <c r="C25" s="4" t="inlineStr">
        <is>
          <t>Enrollment/Attendance/Grade/Auth polish + module smoke</t>
        </is>
      </c>
      <c r="D25" s="4" t="inlineStr">
        <is>
          <t>Gate 3</t>
        </is>
      </c>
    </row>
    <row r="26">
      <c r="A26" s="4" t="inlineStr">
        <is>
          <t>Timeline</t>
        </is>
      </c>
      <c r="B26" s="4" t="inlineStr">
        <is>
          <t>Tuần 4</t>
        </is>
      </c>
      <c r="C26" s="4" t="inlineStr">
        <is>
          <t>Full test, regression, handover và sign-off</t>
        </is>
      </c>
      <c r="D26" s="4" t="inlineStr">
        <is>
          <t>Gate 4</t>
        </is>
      </c>
    </row>
    <row r="27">
      <c r="A27" s="4" t="inlineStr">
        <is>
          <t>Rủi ro</t>
        </is>
      </c>
      <c r="B27" s="4" t="inlineStr">
        <is>
          <t>Database</t>
        </is>
      </c>
      <c r="C27" s="4" t="inlineStr">
        <is>
          <t>EnsureCreated chưa hỗ trợ versioned migration; reset dữ liệu test có kiểm soát.</t>
        </is>
      </c>
      <c r="D27" s="4" t="inlineStr">
        <is>
          <t>Medium</t>
        </is>
      </c>
    </row>
    <row r="28">
      <c r="A28" s="4" t="inlineStr">
        <is>
          <t>Rủi ro</t>
        </is>
      </c>
      <c r="B28" s="4" t="inlineStr">
        <is>
          <t>Automation</t>
        </is>
      </c>
      <c r="C28" s="4" t="inlineStr">
        <is>
          <t>Chưa có test project; ưu tiên automation cho công thức điểm và authorization.</t>
        </is>
      </c>
      <c r="D28" s="4" t="inlineStr">
        <is>
          <t>High</t>
        </is>
      </c>
    </row>
    <row r="29">
      <c r="A29" s="4" t="inlineStr">
        <is>
          <t>Rủi ro</t>
        </is>
      </c>
      <c r="B29" s="4" t="inlineStr">
        <is>
          <t>Upload</t>
        </is>
      </c>
      <c r="C29" s="4" t="inlineStr">
        <is>
          <t>Cần xác nhận giới hạn MIME/extension/size phía server trước production.</t>
        </is>
      </c>
      <c r="D29" s="4" t="inlineStr">
        <is>
          <t>High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78" customWidth="1" min="3" max="3"/>
    <col width="12" customWidth="1" min="4" max="4"/>
    <col width="34" customWidth="1" min="5" max="5"/>
    <col width="18" customWidth="1" min="6" max="6"/>
  </cols>
  <sheetData>
    <row r="1" ht="28" customHeight="1">
      <c r="A1" s="1" t="inlineStr">
        <is>
          <t>REQUIREMENT BASELINE</t>
        </is>
      </c>
    </row>
    <row r="2" ht="30" customHeight="1">
      <c r="A2" s="2" t="inlineStr">
        <is>
          <t>Yêu cầu chức năng và phi chức năng dùng để truy vết test case.</t>
        </is>
      </c>
    </row>
    <row r="4" ht="32" customHeight="1">
      <c r="A4" s="3" t="inlineStr">
        <is>
          <t>REQ ID</t>
        </is>
      </c>
      <c r="B4" s="3" t="inlineStr">
        <is>
          <t>Module</t>
        </is>
      </c>
      <c r="C4" s="3" t="inlineStr">
        <is>
          <t>Mô tả yêu cầu</t>
        </is>
      </c>
      <c r="D4" s="3" t="inlineStr">
        <is>
          <t>Ưu tiên</t>
        </is>
      </c>
      <c r="E4" s="3" t="inlineStr">
        <is>
          <t>Nguồn</t>
        </is>
      </c>
      <c r="F4" s="3" t="inlineStr">
        <is>
          <t>Trạng thái</t>
        </is>
      </c>
    </row>
    <row r="5">
      <c r="A5" s="4" t="inlineStr">
        <is>
          <t>REQ-AUTH-001</t>
        </is>
      </c>
      <c r="B5" s="4" t="inlineStr">
        <is>
          <t>Auth</t>
        </is>
      </c>
      <c r="C5" s="4" t="inlineStr">
        <is>
          <t>Người dùng hoạt động đăng nhập được bằng đúng tên đăng nhập và mật khẩu.</t>
        </is>
      </c>
      <c r="D5" s="4" t="inlineStr">
        <is>
          <t>P0</t>
        </is>
      </c>
      <c r="E5" s="4" t="inlineStr">
        <is>
          <t>AccountController.Login</t>
        </is>
      </c>
      <c r="F5" s="4" t="inlineStr">
        <is>
          <t>Baseline v1.0</t>
        </is>
      </c>
    </row>
    <row r="6">
      <c r="A6" s="4" t="inlineStr">
        <is>
          <t>REQ-AUTH-002</t>
        </is>
      </c>
      <c r="B6" s="4" t="inlineStr">
        <is>
          <t>Auth</t>
        </is>
      </c>
      <c r="C6" s="4" t="inlineStr">
        <is>
          <t>Hệ thống từ chối tài khoản không tồn tại, bị khóa hoặc sai mật khẩu.</t>
        </is>
      </c>
      <c r="D6" s="4" t="inlineStr">
        <is>
          <t>P0</t>
        </is>
      </c>
      <c r="E6" s="4" t="inlineStr">
        <is>
          <t>AccountController.Login</t>
        </is>
      </c>
      <c r="F6" s="4" t="inlineStr">
        <is>
          <t>Baseline v1.0</t>
        </is>
      </c>
    </row>
    <row r="7">
      <c r="A7" s="4" t="inlineStr">
        <is>
          <t>REQ-AUTH-003</t>
        </is>
      </c>
      <c r="B7" s="4" t="inlineStr">
        <is>
          <t>Auth</t>
        </is>
      </c>
      <c r="C7" s="4" t="inlineStr">
        <is>
          <t>Tên đăng nhập và mật khẩu là dữ liệu bắt buộc.</t>
        </is>
      </c>
      <c r="D7" s="4" t="inlineStr">
        <is>
          <t>P1</t>
        </is>
      </c>
      <c r="E7" s="4" t="inlineStr">
        <is>
          <t>LoginViewModel</t>
        </is>
      </c>
      <c r="F7" s="4" t="inlineStr">
        <is>
          <t>Baseline v1.0</t>
        </is>
      </c>
    </row>
    <row r="8">
      <c r="A8" s="4" t="inlineStr">
        <is>
          <t>REQ-AUTH-004</t>
        </is>
      </c>
      <c r="B8" s="4" t="inlineStr">
        <is>
          <t>Auth</t>
        </is>
      </c>
      <c r="C8" s="4" t="inlineStr">
        <is>
          <t>Hỗ trợ remember-me và chỉ chuyển tiếp đến ReturnUrl nội bộ.</t>
        </is>
      </c>
      <c r="D8" s="4" t="inlineStr">
        <is>
          <t>P1</t>
        </is>
      </c>
      <c r="E8" s="4" t="inlineStr">
        <is>
          <t>AccountController.Login</t>
        </is>
      </c>
      <c r="F8" s="4" t="inlineStr">
        <is>
          <t>Baseline v1.0</t>
        </is>
      </c>
    </row>
    <row r="9">
      <c r="A9" s="4" t="inlineStr">
        <is>
          <t>REQ-AUTH-005</t>
        </is>
      </c>
      <c r="B9" s="4" t="inlineStr">
        <is>
          <t>Auth</t>
        </is>
      </c>
      <c r="C9" s="4" t="inlineStr">
        <is>
          <t>Đăng xuất phải hủy phiên xác thực và quay về trang đăng nhập.</t>
        </is>
      </c>
      <c r="D9" s="4" t="inlineStr">
        <is>
          <t>P0</t>
        </is>
      </c>
      <c r="E9" s="4" t="inlineStr">
        <is>
          <t>AccountController.Logout</t>
        </is>
      </c>
      <c r="F9" s="4" t="inlineStr">
        <is>
          <t>Baseline v1.0</t>
        </is>
      </c>
    </row>
    <row r="10">
      <c r="A10" s="4" t="inlineStr">
        <is>
          <t>REQ-AUTH-006</t>
        </is>
      </c>
      <c r="B10" s="4" t="inlineStr">
        <is>
          <t>Auth</t>
        </is>
      </c>
      <c r="C10" s="4" t="inlineStr">
        <is>
          <t>Chỉ Admin và GiaoVu được truy cập các module quản trị.</t>
        </is>
      </c>
      <c r="D10" s="4" t="inlineStr">
        <is>
          <t>P0</t>
        </is>
      </c>
      <c r="E10" s="4" t="inlineStr">
        <is>
          <t>Authorize attributes</t>
        </is>
      </c>
      <c r="F10" s="4" t="inlineStr">
        <is>
          <t>Baseline v1.0</t>
        </is>
      </c>
    </row>
    <row r="11">
      <c r="A11" s="4" t="inlineStr">
        <is>
          <t>REQ-COURSE-001</t>
        </is>
      </c>
      <c r="B11" s="4" t="inlineStr">
        <is>
          <t>Course</t>
        </is>
      </c>
      <c r="C11" s="4" t="inlineStr">
        <is>
          <t>Danh sách khóa học hỗ trợ tìm kiếm và sắp xếp bản ghi mới trước.</t>
        </is>
      </c>
      <c r="D11" s="4" t="inlineStr">
        <is>
          <t>P1</t>
        </is>
      </c>
      <c r="E11" s="4" t="inlineStr">
        <is>
          <t>CourseController.Index</t>
        </is>
      </c>
      <c r="F11" s="4" t="inlineStr">
        <is>
          <t>Baseline v1.0</t>
        </is>
      </c>
    </row>
    <row r="12">
      <c r="A12" s="4" t="inlineStr">
        <is>
          <t>REQ-COURSE-002</t>
        </is>
      </c>
      <c r="B12" s="4" t="inlineStr">
        <is>
          <t>Course</t>
        </is>
      </c>
      <c r="C12" s="4" t="inlineStr">
        <is>
          <t>Danh sách khóa học phân trang 5 bản ghi mỗi trang.</t>
        </is>
      </c>
      <c r="D12" s="4" t="inlineStr">
        <is>
          <t>P2</t>
        </is>
      </c>
      <c r="E12" s="4" t="inlineStr">
        <is>
          <t>CourseController.Index</t>
        </is>
      </c>
      <c r="F12" s="4" t="inlineStr">
        <is>
          <t>Baseline v1.0</t>
        </is>
      </c>
    </row>
    <row r="13">
      <c r="A13" s="4" t="inlineStr">
        <is>
          <t>REQ-COURSE-003</t>
        </is>
      </c>
      <c r="B13" s="4" t="inlineStr">
        <is>
          <t>Course</t>
        </is>
      </c>
      <c r="C13" s="4" t="inlineStr">
        <is>
          <t>Xem được chi tiết khóa học và các lớp liên kết.</t>
        </is>
      </c>
      <c r="D13" s="4" t="inlineStr">
        <is>
          <t>P1</t>
        </is>
      </c>
      <c r="E13" s="4" t="inlineStr">
        <is>
          <t>CourseController.Details</t>
        </is>
      </c>
      <c r="F13" s="4" t="inlineStr">
        <is>
          <t>Baseline v1.0</t>
        </is>
      </c>
    </row>
    <row r="14">
      <c r="A14" s="4" t="inlineStr">
        <is>
          <t>REQ-COURSE-004</t>
        </is>
      </c>
      <c r="B14" s="4" t="inlineStr">
        <is>
          <t>Course</t>
        </is>
      </c>
      <c r="C14" s="4" t="inlineStr">
        <is>
          <t>Tạo khóa học hợp lệ; dùng ảnh mặc định khi không tải ảnh.</t>
        </is>
      </c>
      <c r="D14" s="4" t="inlineStr">
        <is>
          <t>P0</t>
        </is>
      </c>
      <c r="E14" s="4" t="inlineStr">
        <is>
          <t>CourseController.Create</t>
        </is>
      </c>
      <c r="F14" s="4" t="inlineStr">
        <is>
          <t>Baseline v1.0</t>
        </is>
      </c>
    </row>
    <row r="15">
      <c r="A15" s="4" t="inlineStr">
        <is>
          <t>REQ-COURSE-005</t>
        </is>
      </c>
      <c r="B15" s="4" t="inlineStr">
        <is>
          <t>Course</t>
        </is>
      </c>
      <c r="C15" s="4" t="inlineStr">
        <is>
          <t>Tải lên và thay thế ảnh bìa khóa học.</t>
        </is>
      </c>
      <c r="D15" s="4" t="inlineStr">
        <is>
          <t>P1</t>
        </is>
      </c>
      <c r="E15" s="4" t="inlineStr">
        <is>
          <t>CourseController.Create/Edit</t>
        </is>
      </c>
      <c r="F15" s="4" t="inlineStr">
        <is>
          <t>Baseline v1.0</t>
        </is>
      </c>
    </row>
    <row r="16">
      <c r="A16" s="4" t="inlineStr">
        <is>
          <t>REQ-COURSE-006</t>
        </is>
      </c>
      <c r="B16" s="4" t="inlineStr">
        <is>
          <t>Course</t>
        </is>
      </c>
      <c r="C16" s="4" t="inlineStr">
        <is>
          <t>Kiểm tra tên, học phí, tổng số buổi và mô tả theo giới hạn model.</t>
        </is>
      </c>
      <c r="D16" s="4" t="inlineStr">
        <is>
          <t>P0</t>
        </is>
      </c>
      <c r="E16" s="4" t="inlineStr">
        <is>
          <t>Course model</t>
        </is>
      </c>
      <c r="F16" s="4" t="inlineStr">
        <is>
          <t>Baseline v1.0</t>
        </is>
      </c>
    </row>
    <row r="17">
      <c r="A17" s="4" t="inlineStr">
        <is>
          <t>REQ-COURSE-007</t>
        </is>
      </c>
      <c r="B17" s="4" t="inlineStr">
        <is>
          <t>Course</t>
        </is>
      </c>
      <c r="C17" s="4" t="inlineStr">
        <is>
          <t>Cập nhật khóa học và giữ ảnh cũ khi không chọn ảnh mới.</t>
        </is>
      </c>
      <c r="D17" s="4" t="inlineStr">
        <is>
          <t>P1</t>
        </is>
      </c>
      <c r="E17" s="4" t="inlineStr">
        <is>
          <t>CourseController.Edit</t>
        </is>
      </c>
      <c r="F17" s="4" t="inlineStr">
        <is>
          <t>Baseline v1.0</t>
        </is>
      </c>
    </row>
    <row r="18">
      <c r="A18" s="4" t="inlineStr">
        <is>
          <t>REQ-COURSE-008</t>
        </is>
      </c>
      <c r="B18" s="4" t="inlineStr">
        <is>
          <t>Course</t>
        </is>
      </c>
      <c r="C18" s="4" t="inlineStr">
        <is>
          <t>Chỉ xóa khóa học chưa có lớp liên kết.</t>
        </is>
      </c>
      <c r="D18" s="4" t="inlineStr">
        <is>
          <t>P0</t>
        </is>
      </c>
      <c r="E18" s="4" t="inlineStr">
        <is>
          <t>CourseController.Delete</t>
        </is>
      </c>
      <c r="F18" s="4" t="inlineStr">
        <is>
          <t>Baseline v1.0</t>
        </is>
      </c>
    </row>
    <row r="19">
      <c r="A19" s="4" t="inlineStr">
        <is>
          <t>REQ-CLASS-001</t>
        </is>
      </c>
      <c r="B19" s="4" t="inlineStr">
        <is>
          <t>Class</t>
        </is>
      </c>
      <c r="C19" s="4" t="inlineStr">
        <is>
          <t>Danh sách lớp hỗ trợ tìm theo mã, tên lớp hoặc giảng viên.</t>
        </is>
      </c>
      <c r="D19" s="4" t="inlineStr">
        <is>
          <t>P1</t>
        </is>
      </c>
      <c r="E19" s="4" t="inlineStr">
        <is>
          <t>ClassController.Index</t>
        </is>
      </c>
      <c r="F19" s="4" t="inlineStr">
        <is>
          <t>Baseline v1.0</t>
        </is>
      </c>
    </row>
    <row r="20">
      <c r="A20" s="4" t="inlineStr">
        <is>
          <t>REQ-CLASS-002</t>
        </is>
      </c>
      <c r="B20" s="4" t="inlineStr">
        <is>
          <t>Class</t>
        </is>
      </c>
      <c r="C20" s="4" t="inlineStr">
        <is>
          <t>Danh sách lớp hỗ trợ lọc khóa học và phân trang 5 bản ghi.</t>
        </is>
      </c>
      <c r="D20" s="4" t="inlineStr">
        <is>
          <t>P2</t>
        </is>
      </c>
      <c r="E20" s="4" t="inlineStr">
        <is>
          <t>ClassController.Index</t>
        </is>
      </c>
      <c r="F20" s="4" t="inlineStr">
        <is>
          <t>Baseline v1.0</t>
        </is>
      </c>
    </row>
    <row r="21">
      <c r="A21" s="4" t="inlineStr">
        <is>
          <t>REQ-CLASS-003</t>
        </is>
      </c>
      <c r="B21" s="4" t="inlineStr">
        <is>
          <t>Class</t>
        </is>
      </c>
      <c r="C21" s="4" t="inlineStr">
        <is>
          <t>Chi tiết lớp hiển thị khóa học và danh sách ghi danh.</t>
        </is>
      </c>
      <c r="D21" s="4" t="inlineStr">
        <is>
          <t>P1</t>
        </is>
      </c>
      <c r="E21" s="4" t="inlineStr">
        <is>
          <t>ClassController.Details</t>
        </is>
      </c>
      <c r="F21" s="4" t="inlineStr">
        <is>
          <t>Baseline v1.0</t>
        </is>
      </c>
    </row>
    <row r="22">
      <c r="A22" s="4" t="inlineStr">
        <is>
          <t>REQ-CLASS-004</t>
        </is>
      </c>
      <c r="B22" s="4" t="inlineStr">
        <is>
          <t>Class</t>
        </is>
      </c>
      <c r="C22" s="4" t="inlineStr">
        <is>
          <t>Tạo lớp hợp lệ và chỉ chọn khóa học đang hoạt động.</t>
        </is>
      </c>
      <c r="D22" s="4" t="inlineStr">
        <is>
          <t>P0</t>
        </is>
      </c>
      <c r="E22" s="4" t="inlineStr">
        <is>
          <t>ClassController.Create</t>
        </is>
      </c>
      <c r="F22" s="4" t="inlineStr">
        <is>
          <t>Baseline v1.0</t>
        </is>
      </c>
    </row>
    <row r="23">
      <c r="A23" s="4" t="inlineStr">
        <is>
          <t>REQ-CLASS-005</t>
        </is>
      </c>
      <c r="B23" s="4" t="inlineStr">
        <is>
          <t>Class</t>
        </is>
      </c>
      <c r="C23" s="4" t="inlineStr">
        <is>
          <t>Không cho phép tạo lớp có ClassCode trùng.</t>
        </is>
      </c>
      <c r="D23" s="4" t="inlineStr">
        <is>
          <t>P0</t>
        </is>
      </c>
      <c r="E23" s="4" t="inlineStr">
        <is>
          <t>ClassController.Create</t>
        </is>
      </c>
      <c r="F23" s="4" t="inlineStr">
        <is>
          <t>Baseline v1.0</t>
        </is>
      </c>
    </row>
    <row r="24">
      <c r="A24" s="4" t="inlineStr">
        <is>
          <t>REQ-CLASS-006</t>
        </is>
      </c>
      <c r="B24" s="4" t="inlineStr">
        <is>
          <t>Class</t>
        </is>
      </c>
      <c r="C24" s="4" t="inlineStr">
        <is>
          <t>Kiểm tra trường bắt buộc, độ dài và sĩ số 1-100.</t>
        </is>
      </c>
      <c r="D24" s="4" t="inlineStr">
        <is>
          <t>P0</t>
        </is>
      </c>
      <c r="E24" s="4" t="inlineStr">
        <is>
          <t>Class model</t>
        </is>
      </c>
      <c r="F24" s="4" t="inlineStr">
        <is>
          <t>Baseline v1.0</t>
        </is>
      </c>
    </row>
    <row r="25">
      <c r="A25" s="4" t="inlineStr">
        <is>
          <t>REQ-CLASS-007</t>
        </is>
      </c>
      <c r="B25" s="4" t="inlineStr">
        <is>
          <t>Class</t>
        </is>
      </c>
      <c r="C25" s="4" t="inlineStr">
        <is>
          <t>Cập nhật thông tin lớp hợp lệ.</t>
        </is>
      </c>
      <c r="D25" s="4" t="inlineStr">
        <is>
          <t>P1</t>
        </is>
      </c>
      <c r="E25" s="4" t="inlineStr">
        <is>
          <t>ClassController.Edit</t>
        </is>
      </c>
      <c r="F25" s="4" t="inlineStr">
        <is>
          <t>Baseline v1.0</t>
        </is>
      </c>
    </row>
    <row r="26">
      <c r="A26" s="4" t="inlineStr">
        <is>
          <t>REQ-CLASS-008</t>
        </is>
      </c>
      <c r="B26" s="4" t="inlineStr">
        <is>
          <t>Class</t>
        </is>
      </c>
      <c r="C26" s="4" t="inlineStr">
        <is>
          <t>Chỉ xóa lớp chưa có học viên ghi danh.</t>
        </is>
      </c>
      <c r="D26" s="4" t="inlineStr">
        <is>
          <t>P0</t>
        </is>
      </c>
      <c r="E26" s="4" t="inlineStr">
        <is>
          <t>ClassController.Delete</t>
        </is>
      </c>
      <c r="F26" s="4" t="inlineStr">
        <is>
          <t>Baseline v1.0</t>
        </is>
      </c>
    </row>
    <row r="27">
      <c r="A27" s="4" t="inlineStr">
        <is>
          <t>REQ-ENR-001</t>
        </is>
      </c>
      <c r="B27" s="4" t="inlineStr">
        <is>
          <t>Enrollment</t>
        </is>
      </c>
      <c r="C27" s="4" t="inlineStr">
        <is>
          <t>Danh sách ghi danh hỗ trợ tìm kiếm, lọc và phân trang 5 bản ghi.</t>
        </is>
      </c>
      <c r="D27" s="4" t="inlineStr">
        <is>
          <t>P1</t>
        </is>
      </c>
      <c r="E27" s="4" t="inlineStr">
        <is>
          <t>EnrollmentController.Index</t>
        </is>
      </c>
      <c r="F27" s="4" t="inlineStr">
        <is>
          <t>Baseline v1.0</t>
        </is>
      </c>
    </row>
    <row r="28">
      <c r="A28" s="4" t="inlineStr">
        <is>
          <t>REQ-ENR-002</t>
        </is>
      </c>
      <c r="B28" s="4" t="inlineStr">
        <is>
          <t>Enrollment</t>
        </is>
      </c>
      <c r="C28" s="4" t="inlineStr">
        <is>
          <t>Chi tiết ghi danh hiển thị học viên, lớp, học phí, điểm danh và điểm.</t>
        </is>
      </c>
      <c r="D28" s="4" t="inlineStr">
        <is>
          <t>P1</t>
        </is>
      </c>
      <c r="E28" s="4" t="inlineStr">
        <is>
          <t>EnrollmentController.Details</t>
        </is>
      </c>
      <c r="F28" s="4" t="inlineStr">
        <is>
          <t>Baseline v1.0</t>
        </is>
      </c>
    </row>
    <row r="29">
      <c r="A29" s="4" t="inlineStr">
        <is>
          <t>REQ-ENR-003</t>
        </is>
      </c>
      <c r="B29" s="4" t="inlineStr">
        <is>
          <t>Enrollment</t>
        </is>
      </c>
      <c r="C29" s="4" t="inlineStr">
        <is>
          <t>Tạo ghi danh hợp lệ với giá trị mặc định phù hợp.</t>
        </is>
      </c>
      <c r="D29" s="4" t="inlineStr">
        <is>
          <t>P0</t>
        </is>
      </c>
      <c r="E29" s="4" t="inlineStr">
        <is>
          <t>EnrollmentController.Create</t>
        </is>
      </c>
      <c r="F29" s="4" t="inlineStr">
        <is>
          <t>Baseline v1.0</t>
        </is>
      </c>
    </row>
    <row r="30">
      <c r="A30" s="4" t="inlineStr">
        <is>
          <t>REQ-ENR-004</t>
        </is>
      </c>
      <c r="B30" s="4" t="inlineStr">
        <is>
          <t>Enrollment</t>
        </is>
      </c>
      <c r="C30" s="4" t="inlineStr">
        <is>
          <t>Khi chọn lớp, hệ thống lấy học phí chuẩn của khóa học.</t>
        </is>
      </c>
      <c r="D30" s="4" t="inlineStr">
        <is>
          <t>P1</t>
        </is>
      </c>
      <c r="E30" s="4" t="inlineStr">
        <is>
          <t>GetClassDefaultFee</t>
        </is>
      </c>
      <c r="F30" s="4" t="inlineStr">
        <is>
          <t>Baseline v1.0</t>
        </is>
      </c>
    </row>
    <row r="31">
      <c r="A31" s="4" t="inlineStr">
        <is>
          <t>REQ-ENR-005</t>
        </is>
      </c>
      <c r="B31" s="4" t="inlineStr">
        <is>
          <t>Enrollment</t>
        </is>
      </c>
      <c r="C31" s="4" t="inlineStr">
        <is>
          <t>Không ghi danh trùng học viên trong cùng một lớp.</t>
        </is>
      </c>
      <c r="D31" s="4" t="inlineStr">
        <is>
          <t>P0</t>
        </is>
      </c>
      <c r="E31" s="4" t="inlineStr">
        <is>
          <t>EnrollmentController.Create/Edit</t>
        </is>
      </c>
      <c r="F31" s="4" t="inlineStr">
        <is>
          <t>Baseline v1.0</t>
        </is>
      </c>
    </row>
    <row r="32">
      <c r="A32" s="4" t="inlineStr">
        <is>
          <t>REQ-ENR-006</t>
        </is>
      </c>
      <c r="B32" s="4" t="inlineStr">
        <is>
          <t>Enrollment</t>
        </is>
      </c>
      <c r="C32" s="4" t="inlineStr">
        <is>
          <t>Không ghi danh vượt quá sĩ số tối đa của lớp.</t>
        </is>
      </c>
      <c r="D32" s="4" t="inlineStr">
        <is>
          <t>P0</t>
        </is>
      </c>
      <c r="E32" s="4" t="inlineStr">
        <is>
          <t>EnrollmentController.Create</t>
        </is>
      </c>
      <c r="F32" s="4" t="inlineStr">
        <is>
          <t>Baseline v1.0</t>
        </is>
      </c>
    </row>
    <row r="33">
      <c r="A33" s="4" t="inlineStr">
        <is>
          <t>REQ-ENR-007</t>
        </is>
      </c>
      <c r="B33" s="4" t="inlineStr">
        <is>
          <t>Enrollment</t>
        </is>
      </c>
      <c r="C33" s="4" t="inlineStr">
        <is>
          <t>Tự động tính DaNopDu hoặc ConNo từ ActualFee và PaidAmount.</t>
        </is>
      </c>
      <c r="D33" s="4" t="inlineStr">
        <is>
          <t>P0</t>
        </is>
      </c>
      <c r="E33" s="4" t="inlineStr">
        <is>
          <t>EnrollmentController.Create/Edit</t>
        </is>
      </c>
      <c r="F33" s="4" t="inlineStr">
        <is>
          <t>Baseline v1.0</t>
        </is>
      </c>
    </row>
    <row r="34">
      <c r="A34" s="4" t="inlineStr">
        <is>
          <t>REQ-ENR-008</t>
        </is>
      </c>
      <c r="B34" s="4" t="inlineStr">
        <is>
          <t>Enrollment</t>
        </is>
      </c>
      <c r="C34" s="4" t="inlineStr">
        <is>
          <t>Học phí thực tế và số tiền đã nộp nằm trong khoảng 0-100.000.000.</t>
        </is>
      </c>
      <c r="D34" s="4" t="inlineStr">
        <is>
          <t>P0</t>
        </is>
      </c>
      <c r="E34" s="4" t="inlineStr">
        <is>
          <t>Enrollment model</t>
        </is>
      </c>
      <c r="F34" s="4" t="inlineStr">
        <is>
          <t>Baseline v1.0</t>
        </is>
      </c>
    </row>
    <row r="35">
      <c r="A35" s="4" t="inlineStr">
        <is>
          <t>REQ-ENR-009</t>
        </is>
      </c>
      <c r="B35" s="4" t="inlineStr">
        <is>
          <t>Enrollment</t>
        </is>
      </c>
      <c r="C35" s="4" t="inlineStr">
        <is>
          <t>Cập nhật trạng thái học tập và thông tin ghi danh.</t>
        </is>
      </c>
      <c r="D35" s="4" t="inlineStr">
        <is>
          <t>P1</t>
        </is>
      </c>
      <c r="E35" s="4" t="inlineStr">
        <is>
          <t>EnrollmentController.Edit</t>
        </is>
      </c>
      <c r="F35" s="4" t="inlineStr">
        <is>
          <t>Baseline v1.0</t>
        </is>
      </c>
    </row>
    <row r="36">
      <c r="A36" s="4" t="inlineStr">
        <is>
          <t>REQ-ENR-010</t>
        </is>
      </c>
      <c r="B36" s="4" t="inlineStr">
        <is>
          <t>Enrollment</t>
        </is>
      </c>
      <c r="C36" s="4" t="inlineStr">
        <is>
          <t>Chỉ xóa ghi danh chưa có điểm danh hoặc điểm số.</t>
        </is>
      </c>
      <c r="D36" s="4" t="inlineStr">
        <is>
          <t>P0</t>
        </is>
      </c>
      <c r="E36" s="4" t="inlineStr">
        <is>
          <t>EnrollmentController.Delete</t>
        </is>
      </c>
      <c r="F36" s="4" t="inlineStr">
        <is>
          <t>Baseline v1.0</t>
        </is>
      </c>
    </row>
    <row r="37">
      <c r="A37" s="4" t="inlineStr">
        <is>
          <t>REQ-ATT-001</t>
        </is>
      </c>
      <c r="B37" s="4" t="inlineStr">
        <is>
          <t>Attendance</t>
        </is>
      </c>
      <c r="C37" s="4" t="inlineStr">
        <is>
          <t>Danh sách điểm danh hỗ trợ tìm kiếm, lọc và phân trang 10 bản ghi.</t>
        </is>
      </c>
      <c r="D37" s="4" t="inlineStr">
        <is>
          <t>P1</t>
        </is>
      </c>
      <c r="E37" s="4" t="inlineStr">
        <is>
          <t>AttendanceController.Index</t>
        </is>
      </c>
      <c r="F37" s="4" t="inlineStr">
        <is>
          <t>Baseline v1.0</t>
        </is>
      </c>
    </row>
    <row r="38">
      <c r="A38" s="4" t="inlineStr">
        <is>
          <t>REQ-ATT-002</t>
        </is>
      </c>
      <c r="B38" s="4" t="inlineStr">
        <is>
          <t>Attendance</t>
        </is>
      </c>
      <c r="C38" s="4" t="inlineStr">
        <is>
          <t>Sổ điểm danh chỉ lấy học viên có trạng thái DangHoc.</t>
        </is>
      </c>
      <c r="D38" s="4" t="inlineStr">
        <is>
          <t>P0</t>
        </is>
      </c>
      <c r="E38" s="4" t="inlineStr">
        <is>
          <t>AttendanceController.TakeAttendance</t>
        </is>
      </c>
      <c r="F38" s="4" t="inlineStr">
        <is>
          <t>Baseline v1.0</t>
        </is>
      </c>
    </row>
    <row r="39">
      <c r="A39" s="4" t="inlineStr">
        <is>
          <t>REQ-ATT-003</t>
        </is>
      </c>
      <c r="B39" s="4" t="inlineStr">
        <is>
          <t>Attendance</t>
        </is>
      </c>
      <c r="C39" s="4" t="inlineStr">
        <is>
          <t>Tạo mới hoặc cập nhật điểm danh theo lớp và buổi học.</t>
        </is>
      </c>
      <c r="D39" s="4" t="inlineStr">
        <is>
          <t>P0</t>
        </is>
      </c>
      <c r="E39" s="4" t="inlineStr">
        <is>
          <t>AttendanceController.SaveAttendance</t>
        </is>
      </c>
      <c r="F39" s="4" t="inlineStr">
        <is>
          <t>Baseline v1.0</t>
        </is>
      </c>
    </row>
    <row r="40">
      <c r="A40" s="4" t="inlineStr">
        <is>
          <t>REQ-ATT-004</t>
        </is>
      </c>
      <c r="B40" s="4" t="inlineStr">
        <is>
          <t>Attendance</t>
        </is>
      </c>
      <c r="C40" s="4" t="inlineStr">
        <is>
          <t>Lớp, ngày và số buổi là bắt buộc; số buổi nằm trong khoảng 1-200.</t>
        </is>
      </c>
      <c r="D40" s="4" t="inlineStr">
        <is>
          <t>P0</t>
        </is>
      </c>
      <c r="E40" s="4" t="inlineStr">
        <is>
          <t>AttendanceSheetViewModel</t>
        </is>
      </c>
      <c r="F40" s="4" t="inlineStr">
        <is>
          <t>Baseline v1.0</t>
        </is>
      </c>
    </row>
    <row r="41">
      <c r="A41" s="4" t="inlineStr">
        <is>
          <t>REQ-ATT-005</t>
        </is>
      </c>
      <c r="B41" s="4" t="inlineStr">
        <is>
          <t>Attendance</t>
        </is>
      </c>
      <c r="C41" s="4" t="inlineStr">
        <is>
          <t>Ghi chú điểm danh tối đa 255 ký tự.</t>
        </is>
      </c>
      <c r="D41" s="4" t="inlineStr">
        <is>
          <t>P1</t>
        </is>
      </c>
      <c r="E41" s="4" t="inlineStr">
        <is>
          <t>Attendance model</t>
        </is>
      </c>
      <c r="F41" s="4" t="inlineStr">
        <is>
          <t>Baseline v1.0</t>
        </is>
      </c>
    </row>
    <row r="42">
      <c r="A42" s="4" t="inlineStr">
        <is>
          <t>REQ-ATT-006</t>
        </is>
      </c>
      <c r="B42" s="4" t="inlineStr">
        <is>
          <t>Attendance</t>
        </is>
      </c>
      <c r="C42" s="4" t="inlineStr">
        <is>
          <t>Có thể xóa một bản ghi điểm danh.</t>
        </is>
      </c>
      <c r="D42" s="4" t="inlineStr">
        <is>
          <t>P1</t>
        </is>
      </c>
      <c r="E42" s="4" t="inlineStr">
        <is>
          <t>AttendanceController.Delete</t>
        </is>
      </c>
      <c r="F42" s="4" t="inlineStr">
        <is>
          <t>Baseline v1.0</t>
        </is>
      </c>
    </row>
    <row r="43">
      <c r="A43" s="4" t="inlineStr">
        <is>
          <t>REQ-GRADE-001</t>
        </is>
      </c>
      <c r="B43" s="4" t="inlineStr">
        <is>
          <t>Grade</t>
        </is>
      </c>
      <c r="C43" s="4" t="inlineStr">
        <is>
          <t>Danh sách điểm hỗ trợ tìm kiếm, lọc và phân trang 10 bản ghi.</t>
        </is>
      </c>
      <c r="D43" s="4" t="inlineStr">
        <is>
          <t>P1</t>
        </is>
      </c>
      <c r="E43" s="4" t="inlineStr">
        <is>
          <t>GradeController.Index</t>
        </is>
      </c>
      <c r="F43" s="4" t="inlineStr">
        <is>
          <t>Baseline v1.0</t>
        </is>
      </c>
    </row>
    <row r="44">
      <c r="A44" s="4" t="inlineStr">
        <is>
          <t>REQ-GRADE-002</t>
        </is>
      </c>
      <c r="B44" s="4" t="inlineStr">
        <is>
          <t>Grade</t>
        </is>
      </c>
      <c r="C44" s="4" t="inlineStr">
        <is>
          <t>Sổ điểm chỉ lấy học viên có trạng thái DangHoc và nạp điểm đã có.</t>
        </is>
      </c>
      <c r="D44" s="4" t="inlineStr">
        <is>
          <t>P0</t>
        </is>
      </c>
      <c r="E44" s="4" t="inlineStr">
        <is>
          <t>GradeController.EnterGrades</t>
        </is>
      </c>
      <c r="F44" s="4" t="inlineStr">
        <is>
          <t>Baseline v1.0</t>
        </is>
      </c>
    </row>
    <row r="45">
      <c r="A45" s="4" t="inlineStr">
        <is>
          <t>REQ-GRADE-003</t>
        </is>
      </c>
      <c r="B45" s="4" t="inlineStr">
        <is>
          <t>Grade</t>
        </is>
      </c>
      <c r="C45" s="4" t="inlineStr">
        <is>
          <t>Chỉ tạo bản ghi điểm mới khi có điểm hoặc nhận xét; có thể cập nhật bản ghi cũ.</t>
        </is>
      </c>
      <c r="D45" s="4" t="inlineStr">
        <is>
          <t>P0</t>
        </is>
      </c>
      <c r="E45" s="4" t="inlineStr">
        <is>
          <t>GradeController.SaveGrades</t>
        </is>
      </c>
      <c r="F45" s="4" t="inlineStr">
        <is>
          <t>Baseline v1.0</t>
        </is>
      </c>
    </row>
    <row r="46">
      <c r="A46" s="4" t="inlineStr">
        <is>
          <t>REQ-GRADE-004</t>
        </is>
      </c>
      <c r="B46" s="4" t="inlineStr">
        <is>
          <t>Grade</t>
        </is>
      </c>
      <c r="C46" s="4" t="inlineStr">
        <is>
          <t>Điểm từng kỹ năng nằm trong khoảng 0-990.</t>
        </is>
      </c>
      <c r="D46" s="4" t="inlineStr">
        <is>
          <t>P0</t>
        </is>
      </c>
      <c r="E46" s="4" t="inlineStr">
        <is>
          <t>GradeSheetViewModel</t>
        </is>
      </c>
      <c r="F46" s="4" t="inlineStr">
        <is>
          <t>Baseline v1.0</t>
        </is>
      </c>
    </row>
    <row r="47">
      <c r="A47" s="4" t="inlineStr">
        <is>
          <t>REQ-GRADE-005</t>
        </is>
      </c>
      <c r="B47" s="4" t="inlineStr">
        <is>
          <t>Grade</t>
        </is>
      </c>
      <c r="C47" s="4" t="inlineStr">
        <is>
          <t>Kỳ kiểm tra bắt buộc, tối đa 50 ký tự; nhận xét tối đa 500 ký tự.</t>
        </is>
      </c>
      <c r="D47" s="4" t="inlineStr">
        <is>
          <t>P1</t>
        </is>
      </c>
      <c r="E47" s="4" t="inlineStr">
        <is>
          <t>Grade model</t>
        </is>
      </c>
      <c r="F47" s="4" t="inlineStr">
        <is>
          <t>Baseline v1.0</t>
        </is>
      </c>
    </row>
    <row r="48">
      <c r="A48" s="4" t="inlineStr">
        <is>
          <t>REQ-GRADE-006</t>
        </is>
      </c>
      <c r="B48" s="4" t="inlineStr">
        <is>
          <t>Grade</t>
        </is>
      </c>
      <c r="C48" s="4" t="inlineStr">
        <is>
          <t>TOEIC Overall bằng Listening cộng Reading.</t>
        </is>
      </c>
      <c r="D48" s="4" t="inlineStr">
        <is>
          <t>P0</t>
        </is>
      </c>
      <c r="E48" s="4" t="inlineStr">
        <is>
          <t>GradeController.CalculateOverall</t>
        </is>
      </c>
      <c r="F48" s="4" t="inlineStr">
        <is>
          <t>Baseline v1.0</t>
        </is>
      </c>
    </row>
    <row r="49">
      <c r="A49" s="4" t="inlineStr">
        <is>
          <t>REQ-GRADE-007</t>
        </is>
      </c>
      <c r="B49" s="4" t="inlineStr">
        <is>
          <t>Grade</t>
        </is>
      </c>
      <c r="C49" s="4" t="inlineStr">
        <is>
          <t>IELTS Overall là trung bình kỹ năng đã nhập và làm tròn band .0/.5.</t>
        </is>
      </c>
      <c r="D49" s="4" t="inlineStr">
        <is>
          <t>P0</t>
        </is>
      </c>
      <c r="E49" s="4" t="inlineStr">
        <is>
          <t>GradeController.CalculateOverall</t>
        </is>
      </c>
      <c r="F49" s="4" t="inlineStr">
        <is>
          <t>Baseline v1.0</t>
        </is>
      </c>
    </row>
    <row r="50">
      <c r="A50" s="4" t="inlineStr">
        <is>
          <t>REQ-GRADE-008</t>
        </is>
      </c>
      <c r="B50" s="4" t="inlineStr">
        <is>
          <t>Grade</t>
        </is>
      </c>
      <c r="C50" s="4" t="inlineStr">
        <is>
          <t>Khóa học khác tính trung bình kỹ năng và làm tròn một chữ số.</t>
        </is>
      </c>
      <c r="D50" s="4" t="inlineStr">
        <is>
          <t>P1</t>
        </is>
      </c>
      <c r="E50" s="4" t="inlineStr">
        <is>
          <t>GradeController.CalculateOverall</t>
        </is>
      </c>
      <c r="F50" s="4" t="inlineStr">
        <is>
          <t>Baseline v1.0</t>
        </is>
      </c>
    </row>
    <row r="51">
      <c r="A51" s="4" t="inlineStr">
        <is>
          <t>REQ-GRADE-009</t>
        </is>
      </c>
      <c r="B51" s="4" t="inlineStr">
        <is>
          <t>Grade</t>
        </is>
      </c>
      <c r="C51" s="4" t="inlineStr">
        <is>
          <t>Có thể xóa một bản ghi điểm.</t>
        </is>
      </c>
      <c r="D51" s="4" t="inlineStr">
        <is>
          <t>P1</t>
        </is>
      </c>
      <c r="E51" s="4" t="inlineStr">
        <is>
          <t>GradeController.Delete</t>
        </is>
      </c>
      <c r="F51" s="4" t="inlineStr">
        <is>
          <t>Baseline v1.0</t>
        </is>
      </c>
    </row>
    <row r="52">
      <c r="A52" s="4" t="inlineStr">
        <is>
          <t>REQ-COMMON-001</t>
        </is>
      </c>
      <c r="B52" s="4" t="inlineStr">
        <is>
          <t>Common</t>
        </is>
      </c>
      <c r="C52" s="4" t="inlineStr">
        <is>
          <t>Người chưa đăng nhập bị chuyển đến Login khi vào route quản trị.</t>
        </is>
      </c>
      <c r="D52" s="4" t="inlineStr">
        <is>
          <t>P0</t>
        </is>
      </c>
      <c r="E52" s="4" t="inlineStr">
        <is>
          <t>Cookie authentication</t>
        </is>
      </c>
      <c r="F52" s="4" t="inlineStr">
        <is>
          <t>Baseline v1.0</t>
        </is>
      </c>
    </row>
    <row r="53">
      <c r="A53" s="4" t="inlineStr">
        <is>
          <t>REQ-COMMON-002</t>
        </is>
      </c>
      <c r="B53" s="4" t="inlineStr">
        <is>
          <t>Common</t>
        </is>
      </c>
      <c r="C53" s="4" t="inlineStr">
        <is>
          <t>Các thao tác thay đổi dữ liệu phải kiểm tra anti-forgery token.</t>
        </is>
      </c>
      <c r="D53" s="4" t="inlineStr">
        <is>
          <t>P0</t>
        </is>
      </c>
      <c r="E53" s="4" t="inlineStr">
        <is>
          <t>ValidateAntiForgeryToken</t>
        </is>
      </c>
      <c r="F53" s="4" t="inlineStr">
        <is>
          <t>Baseline v1.0</t>
        </is>
      </c>
    </row>
    <row r="54">
      <c r="A54" s="4" t="inlineStr">
        <is>
          <t>REQ-COMMON-003</t>
        </is>
      </c>
      <c r="B54" s="4" t="inlineStr">
        <is>
          <t>Common</t>
        </is>
      </c>
      <c r="C54" s="4" t="inlineStr">
        <is>
          <t>ID rỗng/không tồn tại trả về Not Found phù hợp.</t>
        </is>
      </c>
      <c r="D54" s="4" t="inlineStr">
        <is>
          <t>P1</t>
        </is>
      </c>
      <c r="E54" s="4" t="inlineStr">
        <is>
          <t>CRUD controllers</t>
        </is>
      </c>
      <c r="F54" s="4" t="inlineStr">
        <is>
          <t>Baseline v1.0</t>
        </is>
      </c>
    </row>
    <row r="55">
      <c r="A55" s="4" t="inlineStr">
        <is>
          <t>REQ-COMMON-004</t>
        </is>
      </c>
      <c r="B55" s="4" t="inlineStr">
        <is>
          <t>Common</t>
        </is>
      </c>
      <c r="C55" s="4" t="inlineStr">
        <is>
          <t>Ứng dụng build và khởi tạo seed data thành công.</t>
        </is>
      </c>
      <c r="D55" s="4" t="inlineStr">
        <is>
          <t>P0</t>
        </is>
      </c>
      <c r="E55" s="4" t="inlineStr">
        <is>
          <t>Program/DbInitializer</t>
        </is>
      </c>
      <c r="F55" s="4" t="inlineStr">
        <is>
          <t>Baseline v1.0</t>
        </is>
      </c>
    </row>
    <row r="56">
      <c r="A56" s="4" t="inlineStr">
        <is>
          <t>REQ-COMMON-005</t>
        </is>
      </c>
      <c r="B56" s="4" t="inlineStr">
        <is>
          <t>Common</t>
        </is>
      </c>
      <c r="C56" s="4" t="inlineStr">
        <is>
          <t>Giao diện luồng chính dùng được trên trình duyệt mục tiêu và không vỡ bố cục.</t>
        </is>
      </c>
      <c r="D56" s="4" t="inlineStr">
        <is>
          <t>P2</t>
        </is>
      </c>
      <c r="E56" s="4" t="inlineStr">
        <is>
          <t>MVC views</t>
        </is>
      </c>
      <c r="F56" s="4" t="inlineStr">
        <is>
          <t>Baseline v1.0</t>
        </is>
      </c>
    </row>
  </sheetData>
  <mergeCells count="2">
    <mergeCell ref="A2:F2"/>
    <mergeCell ref="A1:F1"/>
  </mergeCells>
  <dataValidations count="2">
    <dataValidation sqref="D5:D56" showDropDown="0" showInputMessage="0" showErrorMessage="0" allowBlank="1" errorTitle="Giá trị không hợp lệ" error="Vui lòng chọn một giá trị trong danh sách." promptTitle="Danh sách lựa chọn" prompt="Chọn giá trị chuẩn." type="list">
      <formula1>"P0,P1,P2,P3"</formula1>
    </dataValidation>
    <dataValidation sqref="F5:F56" showDropDown="0" showInputMessage="0" showErrorMessage="0" allowBlank="1" errorTitle="Giá trị không hợp lệ" error="Vui lòng chọn một giá trị trong danh sách." promptTitle="Danh sách lựa chọn" prompt="Chọn giá trị chuẩn." type="list">
      <formula1>"Draft,Baseline v1.0,Changed,Deprecated"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42" customWidth="1" min="4" max="4"/>
    <col width="11" customWidth="1" min="5" max="5"/>
    <col width="16" customWidth="1" min="6" max="6"/>
    <col width="38" customWidth="1" min="7" max="7"/>
    <col width="36" customWidth="1" min="8" max="8"/>
    <col width="54" customWidth="1" min="9" max="9"/>
    <col width="54" customWidth="1" min="10" max="10"/>
    <col width="44" customWidth="1" min="11" max="11"/>
    <col width="14" customWidth="1" min="12" max="12"/>
    <col width="17" customWidth="1" min="13" max="13"/>
    <col width="18" customWidth="1" min="14" max="14"/>
    <col width="14" customWidth="1" min="15" max="15"/>
    <col width="34" customWidth="1" min="16" max="16"/>
  </cols>
  <sheetData>
    <row r="1" ht="28" customHeight="1">
      <c r="A1" s="1" t="inlineStr">
        <is>
          <t>TEST CASES</t>
        </is>
      </c>
    </row>
    <row r="2" ht="30" customHeight="1">
      <c r="A2" s="2" t="inlineStr">
        <is>
          <t>Bộ test baseline gồm 90 case. Các cột kết quả để QA cập nhật khi chạy test.</t>
        </is>
      </c>
    </row>
    <row r="4" ht="32" customHeight="1">
      <c r="A4" s="3" t="inlineStr">
        <is>
          <t>TC ID</t>
        </is>
      </c>
      <c r="B4" s="3" t="inlineStr">
        <is>
          <t>Module</t>
        </is>
      </c>
      <c r="C4" s="3" t="inlineStr">
        <is>
          <t>REQ ID</t>
        </is>
      </c>
      <c r="D4" s="3" t="inlineStr">
        <is>
          <t>Tiêu đề</t>
        </is>
      </c>
      <c r="E4" s="3" t="inlineStr">
        <is>
          <t>Ưu tiên</t>
        </is>
      </c>
      <c r="F4" s="3" t="inlineStr">
        <is>
          <t>Loại</t>
        </is>
      </c>
      <c r="G4" s="3" t="inlineStr">
        <is>
          <t>Tiền điều kiện</t>
        </is>
      </c>
      <c r="H4" s="3" t="inlineStr">
        <is>
          <t>Dữ liệu kiểm thử</t>
        </is>
      </c>
      <c r="I4" s="3" t="inlineStr">
        <is>
          <t>Các bước thực hiện</t>
        </is>
      </c>
      <c r="J4" s="3" t="inlineStr">
        <is>
          <t>Kết quả mong đợi</t>
        </is>
      </c>
      <c r="K4" s="3" t="inlineStr">
        <is>
          <t>Kết quả thực tế</t>
        </is>
      </c>
      <c r="L4" s="3" t="inlineStr">
        <is>
          <t>Trạng thái</t>
        </is>
      </c>
      <c r="M4" s="3" t="inlineStr">
        <is>
          <t>Mức độ nếu lỗi</t>
        </is>
      </c>
      <c r="N4" s="3" t="inlineStr">
        <is>
          <t>Người kiểm thử</t>
        </is>
      </c>
      <c r="O4" s="3" t="inlineStr">
        <is>
          <t>Ngày chạy</t>
        </is>
      </c>
      <c r="P4" s="3" t="inlineStr">
        <is>
          <t>Ghi chú</t>
        </is>
      </c>
    </row>
    <row r="5" ht="72" customHeight="1">
      <c r="A5" s="4" t="inlineStr">
        <is>
          <t>TC-AUTH-001</t>
        </is>
      </c>
      <c r="B5" s="4" t="inlineStr">
        <is>
          <t>Auth</t>
        </is>
      </c>
      <c r="C5" s="4" t="inlineStr">
        <is>
          <t>REQ-AUTH-001</t>
        </is>
      </c>
      <c r="D5" s="4" t="inlineStr">
        <is>
          <t>Đăng nhập thành công bằng tài khoản Admin</t>
        </is>
      </c>
      <c r="E5" s="4" t="inlineStr">
        <is>
          <t>P0</t>
        </is>
      </c>
      <c r="F5" s="4" t="inlineStr">
        <is>
          <t>Smoke</t>
        </is>
      </c>
      <c r="G5" s="4" t="inlineStr">
        <is>
          <t>Database seed sẵn; chưa đăng nhập.</t>
        </is>
      </c>
      <c r="H5" s="4" t="inlineStr">
        <is>
          <t>admin / admin@123</t>
        </is>
      </c>
      <c r="I5" s="4" t="inlineStr">
        <is>
          <t>1. Mở /Account/Login
2. Nhập tài khoản
3. Chọn Đăng nhập</t>
        </is>
      </c>
      <c r="J5" s="4" t="inlineStr">
        <is>
          <t>Đăng nhập thành công, chuyển đến Home và phiên mang role Admin.</t>
        </is>
      </c>
      <c r="K5" s="4" t="inlineStr"/>
      <c r="L5" s="4" t="inlineStr">
        <is>
          <t>Chưa chạy</t>
        </is>
      </c>
      <c r="M5" s="4" t="inlineStr">
        <is>
          <t>Critical</t>
        </is>
      </c>
      <c r="N5" s="4" t="inlineStr"/>
      <c r="O5" s="4" t="inlineStr"/>
      <c r="P5" s="4" t="inlineStr"/>
    </row>
    <row r="6" ht="72" customHeight="1">
      <c r="A6" s="4" t="inlineStr">
        <is>
          <t>TC-AUTH-002</t>
        </is>
      </c>
      <c r="B6" s="4" t="inlineStr">
        <is>
          <t>Auth</t>
        </is>
      </c>
      <c r="C6" s="4" t="inlineStr">
        <is>
          <t>REQ-AUTH-001</t>
        </is>
      </c>
      <c r="D6" s="4" t="inlineStr">
        <is>
          <t>Đăng nhập thành công bằng tài khoản GiaoVu</t>
        </is>
      </c>
      <c r="E6" s="4" t="inlineStr">
        <is>
          <t>P0</t>
        </is>
      </c>
      <c r="F6" s="4" t="inlineStr">
        <is>
          <t>Functional</t>
        </is>
      </c>
      <c r="G6" s="4" t="inlineStr">
        <is>
          <t>Database seed sẵn; chưa đăng nhập.</t>
        </is>
      </c>
      <c r="H6" s="4" t="inlineStr">
        <is>
          <t>giaovu01 / giaovu@123</t>
        </is>
      </c>
      <c r="I6" s="4" t="inlineStr">
        <is>
          <t>1. Mở Login
2. Nhập tài khoản GiaoVu
3. Đăng nhập</t>
        </is>
      </c>
      <c r="J6" s="4" t="inlineStr">
        <is>
          <t>Đăng nhập thành công; GiaoVu truy cập được các module quản trị.</t>
        </is>
      </c>
      <c r="K6" s="4" t="inlineStr"/>
      <c r="L6" s="4" t="inlineStr">
        <is>
          <t>Chưa chạy</t>
        </is>
      </c>
      <c r="M6" s="4" t="inlineStr">
        <is>
          <t>Critical</t>
        </is>
      </c>
      <c r="N6" s="4" t="inlineStr"/>
      <c r="O6" s="4" t="inlineStr"/>
      <c r="P6" s="4" t="inlineStr"/>
    </row>
    <row r="7" ht="72" customHeight="1">
      <c r="A7" s="4" t="inlineStr">
        <is>
          <t>TC-AUTH-003</t>
        </is>
      </c>
      <c r="B7" s="4" t="inlineStr">
        <is>
          <t>Auth</t>
        </is>
      </c>
      <c r="C7" s="4" t="inlineStr">
        <is>
          <t>REQ-AUTH-001</t>
        </is>
      </c>
      <c r="D7" s="4" t="inlineStr">
        <is>
          <t>Đăng nhập thành công bằng tài khoản SinhVien</t>
        </is>
      </c>
      <c r="E7" s="4" t="inlineStr">
        <is>
          <t>P1</t>
        </is>
      </c>
      <c r="F7" s="4" t="inlineStr">
        <is>
          <t>Functional</t>
        </is>
      </c>
      <c r="G7" s="4" t="inlineStr">
        <is>
          <t>Database seed sẵn; chưa đăng nhập.</t>
        </is>
      </c>
      <c r="H7" s="4" t="inlineStr">
        <is>
          <t>sv2026001 / 123456</t>
        </is>
      </c>
      <c r="I7" s="4" t="inlineStr">
        <is>
          <t>1. Mở Login
2. Nhập tài khoản SinhVien
3. Đăng nhập</t>
        </is>
      </c>
      <c r="J7" s="4" t="inlineStr">
        <is>
          <t>Đăng nhập thành công, chuyển đến Home và phiên mang role SinhVien.</t>
        </is>
      </c>
      <c r="K7" s="4" t="inlineStr"/>
      <c r="L7" s="4" t="inlineStr">
        <is>
          <t>Chưa chạy</t>
        </is>
      </c>
      <c r="M7" s="4" t="inlineStr">
        <is>
          <t>High</t>
        </is>
      </c>
      <c r="N7" s="4" t="inlineStr"/>
      <c r="O7" s="4" t="inlineStr"/>
      <c r="P7" s="4" t="inlineStr"/>
    </row>
    <row r="8" ht="72" customHeight="1">
      <c r="A8" s="4" t="inlineStr">
        <is>
          <t>TC-AUTH-004</t>
        </is>
      </c>
      <c r="B8" s="4" t="inlineStr">
        <is>
          <t>Auth</t>
        </is>
      </c>
      <c r="C8" s="4" t="inlineStr">
        <is>
          <t>REQ-AUTH-002</t>
        </is>
      </c>
      <c r="D8" s="4" t="inlineStr">
        <is>
          <t>Từ chối mật khẩu sai</t>
        </is>
      </c>
      <c r="E8" s="4" t="inlineStr">
        <is>
          <t>P0</t>
        </is>
      </c>
      <c r="F8" s="4" t="inlineStr">
        <is>
          <t>Negative</t>
        </is>
      </c>
      <c r="G8" s="4" t="inlineStr">
        <is>
          <t>Database seed sẵn; chưa đăng nhập.</t>
        </is>
      </c>
      <c r="H8" s="4" t="inlineStr">
        <is>
          <t>admin / wrong-password</t>
        </is>
      </c>
      <c r="I8" s="4" t="inlineStr">
        <is>
          <t>1. Mở Login
2. Nhập mật khẩu sai
3. Đăng nhập</t>
        </is>
      </c>
      <c r="J8" s="4" t="inlineStr">
        <is>
          <t>Không tạo phiên; hiển thị 'Mật khẩu không đúng'.</t>
        </is>
      </c>
      <c r="K8" s="4" t="inlineStr"/>
      <c r="L8" s="4" t="inlineStr">
        <is>
          <t>Chưa chạy</t>
        </is>
      </c>
      <c r="M8" s="4" t="inlineStr">
        <is>
          <t>Critical</t>
        </is>
      </c>
      <c r="N8" s="4" t="inlineStr"/>
      <c r="O8" s="4" t="inlineStr"/>
      <c r="P8" s="4" t="inlineStr"/>
    </row>
    <row r="9" ht="72" customHeight="1">
      <c r="A9" s="4" t="inlineStr">
        <is>
          <t>TC-AUTH-005</t>
        </is>
      </c>
      <c r="B9" s="4" t="inlineStr">
        <is>
          <t>Auth</t>
        </is>
      </c>
      <c r="C9" s="4" t="inlineStr">
        <is>
          <t>REQ-AUTH-002</t>
        </is>
      </c>
      <c r="D9" s="4" t="inlineStr">
        <is>
          <t>Từ chối tài khoản không tồn tại hoặc bị khóa</t>
        </is>
      </c>
      <c r="E9" s="4" t="inlineStr">
        <is>
          <t>P0</t>
        </is>
      </c>
      <c r="F9" s="4" t="inlineStr">
        <is>
          <t>Negative</t>
        </is>
      </c>
      <c r="G9" s="4" t="inlineStr">
        <is>
          <t>Database seed sẵn; chưa đăng nhập.</t>
        </is>
      </c>
      <c r="H9" s="4" t="inlineStr">
        <is>
          <t>notfound / 123456; tài khoản IsActive=false</t>
        </is>
      </c>
      <c r="I9" s="4" t="inlineStr">
        <is>
          <t>1. Thử user không tồn tại
2. Đặt một user test IsActive=false và thử lại</t>
        </is>
      </c>
      <c r="J9" s="4" t="inlineStr">
        <is>
          <t>Cả hai lần đều không tạo phiên; hiển thị tài khoản không tồn tại hoặc đã bị khóa.</t>
        </is>
      </c>
      <c r="K9" s="4" t="inlineStr"/>
      <c r="L9" s="4" t="inlineStr">
        <is>
          <t>Chưa chạy</t>
        </is>
      </c>
      <c r="M9" s="4" t="inlineStr">
        <is>
          <t>Critical</t>
        </is>
      </c>
      <c r="N9" s="4" t="inlineStr"/>
      <c r="O9" s="4" t="inlineStr"/>
      <c r="P9" s="4" t="inlineStr"/>
    </row>
    <row r="10" ht="72" customHeight="1">
      <c r="A10" s="4" t="inlineStr">
        <is>
          <t>TC-AUTH-006</t>
        </is>
      </c>
      <c r="B10" s="4" t="inlineStr">
        <is>
          <t>Auth</t>
        </is>
      </c>
      <c r="C10" s="4" t="inlineStr">
        <is>
          <t>REQ-AUTH-003</t>
        </is>
      </c>
      <c r="D10" s="4" t="inlineStr">
        <is>
          <t>Kiểm tra trường đăng nhập bắt buộc</t>
        </is>
      </c>
      <c r="E10" s="4" t="inlineStr">
        <is>
          <t>P1</t>
        </is>
      </c>
      <c r="F10" s="4" t="inlineStr">
        <is>
          <t>Validation</t>
        </is>
      </c>
      <c r="G10" s="4" t="inlineStr">
        <is>
          <t>Database seed sẵn; chưa đăng nhập.</t>
        </is>
      </c>
      <c r="H10" s="4" t="inlineStr">
        <is>
          <t>Username/password rỗng theo từng tổ hợp</t>
        </is>
      </c>
      <c r="I10" s="4" t="inlineStr">
        <is>
          <t>1. Để trống cả hai trường và submit
2. Chỉ nhập username
3. Chỉ nhập password</t>
        </is>
      </c>
      <c r="J10" s="4" t="inlineStr">
        <is>
          <t>Hiển thị validation đúng trường; không gửi đăng nhập thành công.</t>
        </is>
      </c>
      <c r="K10" s="4" t="inlineStr"/>
      <c r="L10" s="4" t="inlineStr">
        <is>
          <t>Chưa chạy</t>
        </is>
      </c>
      <c r="M10" s="4" t="inlineStr">
        <is>
          <t>High</t>
        </is>
      </c>
      <c r="N10" s="4" t="inlineStr"/>
      <c r="O10" s="4" t="inlineStr"/>
      <c r="P10" s="4" t="inlineStr"/>
    </row>
    <row r="11" ht="72" customHeight="1">
      <c r="A11" s="4" t="inlineStr">
        <is>
          <t>TC-AUTH-007</t>
        </is>
      </c>
      <c r="B11" s="4" t="inlineStr">
        <is>
          <t>Auth</t>
        </is>
      </c>
      <c r="C11" s="4" t="inlineStr">
        <is>
          <t>REQ-AUTH-004</t>
        </is>
      </c>
      <c r="D11" s="4" t="inlineStr">
        <is>
          <t>Remember me tạo phiên đăng nhập kéo dài</t>
        </is>
      </c>
      <c r="E11" s="4" t="inlineStr">
        <is>
          <t>P1</t>
        </is>
      </c>
      <c r="F11" s="4" t="inlineStr">
        <is>
          <t>Functional</t>
        </is>
      </c>
      <c r="G11" s="4" t="inlineStr">
        <is>
          <t>Database seed sẵn; chưa đăng nhập.</t>
        </is>
      </c>
      <c r="H11" s="4" t="inlineStr">
        <is>
          <t>admin / admin@123; RememberMe=true</t>
        </is>
      </c>
      <c r="I11" s="4" t="inlineStr">
        <is>
          <t>1. Chọn Ghi nhớ đăng nhập
2. Đăng nhập
3. Kiểm tra cookie xác thực</t>
        </is>
      </c>
      <c r="J11" s="4" t="inlineStr">
        <is>
          <t>Cookie có thuộc tính persistent và hạn dùng xấp xỉ 7 ngày; vẫn HttpOnly.</t>
        </is>
      </c>
      <c r="K11" s="4" t="inlineStr"/>
      <c r="L11" s="4" t="inlineStr">
        <is>
          <t>Chưa chạy</t>
        </is>
      </c>
      <c r="M11" s="4" t="inlineStr">
        <is>
          <t>Medium</t>
        </is>
      </c>
      <c r="N11" s="4" t="inlineStr"/>
      <c r="O11" s="4" t="inlineStr"/>
      <c r="P11" s="4" t="inlineStr"/>
    </row>
    <row r="12" ht="72" customHeight="1">
      <c r="A12" s="4" t="inlineStr">
        <is>
          <t>TC-AUTH-008</t>
        </is>
      </c>
      <c r="B12" s="4" t="inlineStr">
        <is>
          <t>Auth</t>
        </is>
      </c>
      <c r="C12" s="4" t="inlineStr">
        <is>
          <t>REQ-AUTH-004</t>
        </is>
      </c>
      <c r="D12" s="4" t="inlineStr">
        <is>
          <t>Chuyển về ReturnUrl nội bộ sau đăng nhập</t>
        </is>
      </c>
      <c r="E12" s="4" t="inlineStr">
        <is>
          <t>P1</t>
        </is>
      </c>
      <c r="F12" s="4" t="inlineStr">
        <is>
          <t>Functional</t>
        </is>
      </c>
      <c r="G12" s="4" t="inlineStr">
        <is>
          <t>Database seed sẵn; chưa đăng nhập.</t>
        </is>
      </c>
      <c r="H12" s="4" t="inlineStr">
        <is>
          <t>ReturnUrl=/Course</t>
        </is>
      </c>
      <c r="I12" s="4" t="inlineStr">
        <is>
          <t>1. Mở /Account/Login?returnUrl=/Course
2. Đăng nhập Admin</t>
        </is>
      </c>
      <c r="J12" s="4" t="inlineStr">
        <is>
          <t>Chuyển đến /Course sau khi đăng nhập.</t>
        </is>
      </c>
      <c r="K12" s="4" t="inlineStr"/>
      <c r="L12" s="4" t="inlineStr">
        <is>
          <t>Chưa chạy</t>
        </is>
      </c>
      <c r="M12" s="4" t="inlineStr">
        <is>
          <t>High</t>
        </is>
      </c>
      <c r="N12" s="4" t="inlineStr"/>
      <c r="O12" s="4" t="inlineStr"/>
      <c r="P12" s="4" t="inlineStr"/>
    </row>
    <row r="13" ht="72" customHeight="1">
      <c r="A13" s="4" t="inlineStr">
        <is>
          <t>TC-AUTH-009</t>
        </is>
      </c>
      <c r="B13" s="4" t="inlineStr">
        <is>
          <t>Auth</t>
        </is>
      </c>
      <c r="C13" s="4" t="inlineStr">
        <is>
          <t>REQ-AUTH-004</t>
        </is>
      </c>
      <c r="D13" s="4" t="inlineStr">
        <is>
          <t>Không chuyển hướng đến ReturnUrl bên ngoài</t>
        </is>
      </c>
      <c r="E13" s="4" t="inlineStr">
        <is>
          <t>P0</t>
        </is>
      </c>
      <c r="F13" s="4" t="inlineStr">
        <is>
          <t>Security</t>
        </is>
      </c>
      <c r="G13" s="4" t="inlineStr">
        <is>
          <t>Database seed sẵn; chưa đăng nhập.</t>
        </is>
      </c>
      <c r="H13" s="4" t="inlineStr">
        <is>
          <t>ReturnUrl=https://example.com</t>
        </is>
      </c>
      <c r="I13" s="4" t="inlineStr">
        <is>
          <t>1. Mở Login với ReturnUrl bên ngoài
2. Đăng nhập Admin</t>
        </is>
      </c>
      <c r="J13" s="4" t="inlineStr">
        <is>
          <t>Không redirect ra domain ngoài; chuyển đến Home.</t>
        </is>
      </c>
      <c r="K13" s="4" t="inlineStr"/>
      <c r="L13" s="4" t="inlineStr">
        <is>
          <t>Chưa chạy</t>
        </is>
      </c>
      <c r="M13" s="4" t="inlineStr">
        <is>
          <t>Critical</t>
        </is>
      </c>
      <c r="N13" s="4" t="inlineStr"/>
      <c r="O13" s="4" t="inlineStr"/>
      <c r="P13" s="4" t="inlineStr"/>
    </row>
    <row r="14" ht="72" customHeight="1">
      <c r="A14" s="4" t="inlineStr">
        <is>
          <t>TC-AUTH-010</t>
        </is>
      </c>
      <c r="B14" s="4" t="inlineStr">
        <is>
          <t>Auth</t>
        </is>
      </c>
      <c r="C14" s="4" t="inlineStr">
        <is>
          <t>REQ-AUTH-005</t>
        </is>
      </c>
      <c r="D14" s="4" t="inlineStr">
        <is>
          <t>Đăng xuất hủy phiên</t>
        </is>
      </c>
      <c r="E14" s="4" t="inlineStr">
        <is>
          <t>P0</t>
        </is>
      </c>
      <c r="F14" s="4" t="inlineStr">
        <is>
          <t>Smoke</t>
        </is>
      </c>
      <c r="G14" s="4" t="inlineStr">
        <is>
          <t>Đã đăng nhập bằng admin/admin@123.</t>
        </is>
      </c>
      <c r="H14" s="4" t="inlineStr">
        <is>
          <t>N/A</t>
        </is>
      </c>
      <c r="I14" s="4" t="inlineStr">
        <is>
          <t>1. Chọn Đăng xuất
2. Truy cập lại /Course</t>
        </is>
      </c>
      <c r="J14" s="4" t="inlineStr">
        <is>
          <t>Quay về Login; truy cập /Course yêu cầu đăng nhập lại.</t>
        </is>
      </c>
      <c r="K14" s="4" t="inlineStr"/>
      <c r="L14" s="4" t="inlineStr">
        <is>
          <t>Chưa chạy</t>
        </is>
      </c>
      <c r="M14" s="4" t="inlineStr">
        <is>
          <t>Critical</t>
        </is>
      </c>
      <c r="N14" s="4" t="inlineStr"/>
      <c r="O14" s="4" t="inlineStr"/>
      <c r="P14" s="4" t="inlineStr"/>
    </row>
    <row r="15" ht="72" customHeight="1">
      <c r="A15" s="4" t="inlineStr">
        <is>
          <t>TC-AUTH-011</t>
        </is>
      </c>
      <c r="B15" s="4" t="inlineStr">
        <is>
          <t>Auth</t>
        </is>
      </c>
      <c r="C15" s="4" t="inlineStr">
        <is>
          <t>REQ-AUTH-006</t>
        </is>
      </c>
      <c r="D15" s="4" t="inlineStr">
        <is>
          <t>SinhVien bị chặn khỏi trang quản trị</t>
        </is>
      </c>
      <c r="E15" s="4" t="inlineStr">
        <is>
          <t>P0</t>
        </is>
      </c>
      <c r="F15" s="4" t="inlineStr">
        <is>
          <t>Authorization</t>
        </is>
      </c>
      <c r="G15" s="4" t="inlineStr">
        <is>
          <t>Đã đăng nhập sv2026001/123456.</t>
        </is>
      </c>
      <c r="H15" s="4" t="inlineStr">
        <is>
          <t>/Course, /Class, /Enrollment, /Attendance, /Grade</t>
        </is>
      </c>
      <c r="I15" s="4" t="inlineStr">
        <is>
          <t>1. Mở lần lượt từng URL quản trị
2. Ghi nhận response và trang đích</t>
        </is>
      </c>
      <c r="J15" s="4" t="inlineStr">
        <is>
          <t>Tất cả route bị từ chối và chuyển đến /Account/Denied; không lộ dữ liệu quản trị.</t>
        </is>
      </c>
      <c r="K15" s="4" t="inlineStr"/>
      <c r="L15" s="4" t="inlineStr">
        <is>
          <t>Chưa chạy</t>
        </is>
      </c>
      <c r="M15" s="4" t="inlineStr">
        <is>
          <t>Critical</t>
        </is>
      </c>
      <c r="N15" s="4" t="inlineStr"/>
      <c r="O15" s="4" t="inlineStr"/>
      <c r="P15" s="4" t="inlineStr"/>
    </row>
    <row r="16" ht="72" customHeight="1">
      <c r="A16" s="4" t="inlineStr">
        <is>
          <t>TC-COURSE-001</t>
        </is>
      </c>
      <c r="B16" s="4" t="inlineStr">
        <is>
          <t>Course</t>
        </is>
      </c>
      <c r="C16" s="4" t="inlineStr">
        <is>
          <t>REQ-COURSE-001</t>
        </is>
      </c>
      <c r="D16" s="4" t="inlineStr">
        <is>
          <t>Hiển thị danh sách khóa học theo bản ghi mới nhất</t>
        </is>
      </c>
      <c r="E16" s="4" t="inlineStr">
        <is>
          <t>P1</t>
        </is>
      </c>
      <c r="F16" s="4" t="inlineStr">
        <is>
          <t>Smoke</t>
        </is>
      </c>
      <c r="G16" s="4" t="inlineStr">
        <is>
          <t>Đã đăng nhập bằng admin/admin@123.</t>
        </is>
      </c>
      <c r="H16" s="4" t="inlineStr">
        <is>
          <t>Dữ liệu seed</t>
        </is>
      </c>
      <c r="I16" s="4" t="inlineStr">
        <is>
          <t>1. Mở /Course
2. Đối chiếu tên và thứ tự bản ghi</t>
        </is>
      </c>
      <c r="J16" s="4" t="inlineStr">
        <is>
          <t>Danh sách hiển thị đúng dữ liệu; CourseId lớn hơn nằm trước.</t>
        </is>
      </c>
      <c r="K16" s="4" t="inlineStr"/>
      <c r="L16" s="4" t="inlineStr">
        <is>
          <t>Chưa chạy</t>
        </is>
      </c>
      <c r="M16" s="4" t="inlineStr">
        <is>
          <t>High</t>
        </is>
      </c>
      <c r="N16" s="4" t="inlineStr"/>
      <c r="O16" s="4" t="inlineStr"/>
      <c r="P16" s="4" t="inlineStr"/>
    </row>
    <row r="17" ht="72" customHeight="1">
      <c r="A17" s="4" t="inlineStr">
        <is>
          <t>TC-COURSE-002</t>
        </is>
      </c>
      <c r="B17" s="4" t="inlineStr">
        <is>
          <t>Course</t>
        </is>
      </c>
      <c r="C17" s="4" t="inlineStr">
        <is>
          <t>REQ-COURSE-001</t>
        </is>
      </c>
      <c r="D17" s="4" t="inlineStr">
        <is>
          <t>Tìm khóa học theo một phần tên</t>
        </is>
      </c>
      <c r="E17" s="4" t="inlineStr">
        <is>
          <t>P1</t>
        </is>
      </c>
      <c r="F17" s="4" t="inlineStr">
        <is>
          <t>Functional</t>
        </is>
      </c>
      <c r="G17" s="4" t="inlineStr">
        <is>
          <t>Đã đăng nhập bằng admin/admin@123.</t>
        </is>
      </c>
      <c r="H17" s="4" t="inlineStr">
        <is>
          <t>search=IELTS</t>
        </is>
      </c>
      <c r="I17" s="4" t="inlineStr">
        <is>
          <t>1. Nhập IELTS
2. Tìm kiếm</t>
        </is>
      </c>
      <c r="J17" s="4" t="inlineStr">
        <is>
          <t>Chỉ trả các khóa học có CourseName chứa IELTS, không phân biệt phần còn lại của tên.</t>
        </is>
      </c>
      <c r="K17" s="4" t="inlineStr"/>
      <c r="L17" s="4" t="inlineStr">
        <is>
          <t>Chưa chạy</t>
        </is>
      </c>
      <c r="M17" s="4" t="inlineStr">
        <is>
          <t>Medium</t>
        </is>
      </c>
      <c r="N17" s="4" t="inlineStr"/>
      <c r="O17" s="4" t="inlineStr"/>
      <c r="P17" s="4" t="inlineStr"/>
    </row>
    <row r="18" ht="72" customHeight="1">
      <c r="A18" s="4" t="inlineStr">
        <is>
          <t>TC-COURSE-003</t>
        </is>
      </c>
      <c r="B18" s="4" t="inlineStr">
        <is>
          <t>Course</t>
        </is>
      </c>
      <c r="C18" s="4" t="inlineStr">
        <is>
          <t>REQ-COURSE-001</t>
        </is>
      </c>
      <c r="D18" s="4" t="inlineStr">
        <is>
          <t>Tìm khóa học không có kết quả</t>
        </is>
      </c>
      <c r="E18" s="4" t="inlineStr">
        <is>
          <t>P2</t>
        </is>
      </c>
      <c r="F18" s="4" t="inlineStr">
        <is>
          <t>Negative</t>
        </is>
      </c>
      <c r="G18" s="4" t="inlineStr">
        <is>
          <t>Đã đăng nhập bằng admin/admin@123.</t>
        </is>
      </c>
      <c r="H18" s="4" t="inlineStr">
        <is>
          <t>search=ZZZ-NOT-FOUND</t>
        </is>
      </c>
      <c r="I18" s="4" t="inlineStr">
        <is>
          <t>1. Nhập từ khóa
2. Tìm kiếm</t>
        </is>
      </c>
      <c r="J18" s="4" t="inlineStr">
        <is>
          <t>Danh sách rỗng/hiển thị trạng thái không có dữ liệu; không phát sinh lỗi.</t>
        </is>
      </c>
      <c r="K18" s="4" t="inlineStr"/>
      <c r="L18" s="4" t="inlineStr">
        <is>
          <t>Chưa chạy</t>
        </is>
      </c>
      <c r="M18" s="4" t="inlineStr">
        <is>
          <t>Low</t>
        </is>
      </c>
      <c r="N18" s="4" t="inlineStr"/>
      <c r="O18" s="4" t="inlineStr"/>
      <c r="P18" s="4" t="inlineStr"/>
    </row>
    <row r="19" ht="72" customHeight="1">
      <c r="A19" s="4" t="inlineStr">
        <is>
          <t>TC-COURSE-004</t>
        </is>
      </c>
      <c r="B19" s="4" t="inlineStr">
        <is>
          <t>Course</t>
        </is>
      </c>
      <c r="C19" s="4" t="inlineStr">
        <is>
          <t>REQ-COURSE-002</t>
        </is>
      </c>
      <c r="D19" s="4" t="inlineStr">
        <is>
          <t>Phân trang khóa học 5 bản ghi</t>
        </is>
      </c>
      <c r="E19" s="4" t="inlineStr">
        <is>
          <t>P2</t>
        </is>
      </c>
      <c r="F19" s="4" t="inlineStr">
        <is>
          <t>Functional</t>
        </is>
      </c>
      <c r="G19" s="4" t="inlineStr">
        <is>
          <t>Có ít nhất 7 khóa học; đã đăng nhập Admin.</t>
        </is>
      </c>
      <c r="H19" s="4" t="inlineStr">
        <is>
          <t>page=1 và page=2</t>
        </is>
      </c>
      <c r="I19" s="4" t="inlineStr">
        <is>
          <t>1. Mở trang 1
2. Chuyển trang 2
3. Quay lại trang 1</t>
        </is>
      </c>
      <c r="J19" s="4" t="inlineStr">
        <is>
          <t>Mỗi trang tối đa 5 bản ghi, không trùng/mất bản ghi; điều hướng đúng.</t>
        </is>
      </c>
      <c r="K19" s="4" t="inlineStr"/>
      <c r="L19" s="4" t="inlineStr">
        <is>
          <t>Chưa chạy</t>
        </is>
      </c>
      <c r="M19" s="4" t="inlineStr">
        <is>
          <t>Medium</t>
        </is>
      </c>
      <c r="N19" s="4" t="inlineStr"/>
      <c r="O19" s="4" t="inlineStr"/>
      <c r="P19" s="4" t="inlineStr"/>
    </row>
    <row r="20" ht="72" customHeight="1">
      <c r="A20" s="4" t="inlineStr">
        <is>
          <t>TC-COURSE-005</t>
        </is>
      </c>
      <c r="B20" s="4" t="inlineStr">
        <is>
          <t>Course</t>
        </is>
      </c>
      <c r="C20" s="4" t="inlineStr">
        <is>
          <t>REQ-COURSE-003</t>
        </is>
      </c>
      <c r="D20" s="4" t="inlineStr">
        <is>
          <t>Xem chi tiết khóa học và lớp liên kết</t>
        </is>
      </c>
      <c r="E20" s="4" t="inlineStr">
        <is>
          <t>P1</t>
        </is>
      </c>
      <c r="F20" s="4" t="inlineStr">
        <is>
          <t>Functional</t>
        </is>
      </c>
      <c r="G20" s="4" t="inlineStr">
        <is>
          <t>Đã đăng nhập Admin; có dữ liệu seed và dữ liệu QA cần thiết.</t>
        </is>
      </c>
      <c r="H20" s="4" t="inlineStr">
        <is>
          <t>Khóa IELTS seed</t>
        </is>
      </c>
      <c r="I20" s="4" t="inlineStr">
        <is>
          <t>1. Mở Details của khóa IELTS
2. Kiểm tra thông tin và danh sách lớp</t>
        </is>
      </c>
      <c r="J20" s="4" t="inlineStr">
        <is>
          <t>Thông tin khóa học đúng và lớp IELTS-K02 xuất hiện trong dữ liệu liên kết.</t>
        </is>
      </c>
      <c r="K20" s="4" t="inlineStr"/>
      <c r="L20" s="4" t="inlineStr">
        <is>
          <t>Chưa chạy</t>
        </is>
      </c>
      <c r="M20" s="4" t="inlineStr">
        <is>
          <t>High</t>
        </is>
      </c>
      <c r="N20" s="4" t="inlineStr"/>
      <c r="O20" s="4" t="inlineStr"/>
      <c r="P20" s="4" t="inlineStr"/>
    </row>
    <row r="21" ht="72" customHeight="1">
      <c r="A21" s="4" t="inlineStr">
        <is>
          <t>TC-COURSE-006</t>
        </is>
      </c>
      <c r="B21" s="4" t="inlineStr">
        <is>
          <t>Course</t>
        </is>
      </c>
      <c r="C21" s="4" t="inlineStr">
        <is>
          <t>REQ-COURSE-004</t>
        </is>
      </c>
      <c r="D21" s="4" t="inlineStr">
        <is>
          <t>Tạo khóa học không upload ảnh</t>
        </is>
      </c>
      <c r="E21" s="4" t="inlineStr">
        <is>
          <t>P0</t>
        </is>
      </c>
      <c r="F21" s="4" t="inlineStr">
        <is>
          <t>Smoke</t>
        </is>
      </c>
      <c r="G21" s="4" t="inlineStr">
        <is>
          <t>Đã đăng nhập bằng admin/admin@123.</t>
        </is>
      </c>
      <c r="H21" s="4" t="inlineStr">
        <is>
          <t>QA General English; 2500000; 20 buổi; mô tả hợp lệ</t>
        </is>
      </c>
      <c r="I21" s="4" t="inlineStr">
        <is>
          <t>1. Mở Create
2. Nhập dữ liệu, bỏ trống ảnh
3. Lưu</t>
        </is>
      </c>
      <c r="J21" s="4" t="inlineStr">
        <is>
          <t>Tạo thành công; ThumbnailUrl là /img/default-course.jpg; bản ghi xuất hiện trong danh sách.</t>
        </is>
      </c>
      <c r="K21" s="4" t="inlineStr"/>
      <c r="L21" s="4" t="inlineStr">
        <is>
          <t>Chưa chạy</t>
        </is>
      </c>
      <c r="M21" s="4" t="inlineStr">
        <is>
          <t>Critical</t>
        </is>
      </c>
      <c r="N21" s="4" t="inlineStr"/>
      <c r="O21" s="4" t="inlineStr"/>
      <c r="P21" s="4" t="inlineStr"/>
    </row>
    <row r="22" ht="72" customHeight="1">
      <c r="A22" s="4" t="inlineStr">
        <is>
          <t>TC-COURSE-007</t>
        </is>
      </c>
      <c r="B22" s="4" t="inlineStr">
        <is>
          <t>Course</t>
        </is>
      </c>
      <c r="C22" s="4" t="inlineStr">
        <is>
          <t>REQ-COURSE-005</t>
        </is>
      </c>
      <c r="D22" s="4" t="inlineStr">
        <is>
          <t>Tạo khóa học với ảnh bìa hợp lệ</t>
        </is>
      </c>
      <c r="E22" s="4" t="inlineStr">
        <is>
          <t>P1</t>
        </is>
      </c>
      <c r="F22" s="4" t="inlineStr">
        <is>
          <t>Functional</t>
        </is>
      </c>
      <c r="G22" s="4" t="inlineStr">
        <is>
          <t>Đã đăng nhập bằng admin/admin@123.</t>
        </is>
      </c>
      <c r="H22" s="4" t="inlineStr">
        <is>
          <t>Ảnh PNG/JPG nhỏ hơn 1 MB</t>
        </is>
      </c>
      <c r="I22" s="4" t="inlineStr">
        <is>
          <t>1. Nhập dữ liệu khóa học
2. Chọn ảnh
3. Lưu
4. Mở chi tiết</t>
        </is>
      </c>
      <c r="J22" s="4" t="inlineStr">
        <is>
          <t>Tạo thành công; file có tên duy nhất trong /uploads/courses và ảnh hiển thị được.</t>
        </is>
      </c>
      <c r="K22" s="4" t="inlineStr"/>
      <c r="L22" s="4" t="inlineStr">
        <is>
          <t>Chưa chạy</t>
        </is>
      </c>
      <c r="M22" s="4" t="inlineStr">
        <is>
          <t>High</t>
        </is>
      </c>
      <c r="N22" s="4" t="inlineStr"/>
      <c r="O22" s="4" t="inlineStr"/>
      <c r="P22" s="4" t="inlineStr"/>
    </row>
    <row r="23" ht="72" customHeight="1">
      <c r="A23" s="4" t="inlineStr">
        <is>
          <t>TC-COURSE-008</t>
        </is>
      </c>
      <c r="B23" s="4" t="inlineStr">
        <is>
          <t>Course</t>
        </is>
      </c>
      <c r="C23" s="4" t="inlineStr">
        <is>
          <t>REQ-COURSE-006</t>
        </is>
      </c>
      <c r="D23" s="4" t="inlineStr">
        <is>
          <t>Bắt buộc tên khóa học và mô tả</t>
        </is>
      </c>
      <c r="E23" s="4" t="inlineStr">
        <is>
          <t>P0</t>
        </is>
      </c>
      <c r="F23" s="4" t="inlineStr">
        <is>
          <t>Validation</t>
        </is>
      </c>
      <c r="G23" s="4" t="inlineStr">
        <is>
          <t>Đã đăng nhập bằng admin/admin@123.</t>
        </is>
      </c>
      <c r="H23" s="4" t="inlineStr">
        <is>
          <t>CourseName rỗng; DescriptionHtml rỗng</t>
        </is>
      </c>
      <c r="I23" s="4" t="inlineStr">
        <is>
          <t>1. Submit với tên rỗng
2. Submit với mô tả rỗng</t>
        </is>
      </c>
      <c r="J23" s="4" t="inlineStr">
        <is>
          <t>Hiển thị lỗi đúng trường; không tạo bản ghi.</t>
        </is>
      </c>
      <c r="K23" s="4" t="inlineStr"/>
      <c r="L23" s="4" t="inlineStr">
        <is>
          <t>Chưa chạy</t>
        </is>
      </c>
      <c r="M23" s="4" t="inlineStr">
        <is>
          <t>High</t>
        </is>
      </c>
      <c r="N23" s="4" t="inlineStr"/>
      <c r="O23" s="4" t="inlineStr"/>
      <c r="P23" s="4" t="inlineStr"/>
    </row>
    <row r="24" ht="72" customHeight="1">
      <c r="A24" s="4" t="inlineStr">
        <is>
          <t>TC-COURSE-009</t>
        </is>
      </c>
      <c r="B24" s="4" t="inlineStr">
        <is>
          <t>Course</t>
        </is>
      </c>
      <c r="C24" s="4" t="inlineStr">
        <is>
          <t>REQ-COURSE-006</t>
        </is>
      </c>
      <c r="D24" s="4" t="inlineStr">
        <is>
          <t>Giới hạn tên khóa học 100 ký tự</t>
        </is>
      </c>
      <c r="E24" s="4" t="inlineStr">
        <is>
          <t>P1</t>
        </is>
      </c>
      <c r="F24" s="4" t="inlineStr">
        <is>
          <t>Boundary</t>
        </is>
      </c>
      <c r="G24" s="4" t="inlineStr">
        <is>
          <t>Đã đăng nhập bằng admin/admin@123.</t>
        </is>
      </c>
      <c r="H24" s="4" t="inlineStr">
        <is>
          <t>Tên 100 ký tự và 101 ký tự</t>
        </is>
      </c>
      <c r="I24" s="4" t="inlineStr">
        <is>
          <t>1. Tạo với 100 ký tự
2. Tạo với 101 ký tự</t>
        </is>
      </c>
      <c r="J24" s="4" t="inlineStr">
        <is>
          <t>100 ký tự được chấp nhận; 101 ký tự bị validation và không lưu.</t>
        </is>
      </c>
      <c r="K24" s="4" t="inlineStr"/>
      <c r="L24" s="4" t="inlineStr">
        <is>
          <t>Chưa chạy</t>
        </is>
      </c>
      <c r="M24" s="4" t="inlineStr">
        <is>
          <t>Medium</t>
        </is>
      </c>
      <c r="N24" s="4" t="inlineStr"/>
      <c r="O24" s="4" t="inlineStr"/>
      <c r="P24" s="4" t="inlineStr"/>
    </row>
    <row r="25" ht="72" customHeight="1">
      <c r="A25" s="4" t="inlineStr">
        <is>
          <t>TC-COURSE-010</t>
        </is>
      </c>
      <c r="B25" s="4" t="inlineStr">
        <is>
          <t>Course</t>
        </is>
      </c>
      <c r="C25" s="4" t="inlineStr">
        <is>
          <t>REQ-COURSE-006</t>
        </is>
      </c>
      <c r="D25" s="4" t="inlineStr">
        <is>
          <t>Biên học phí khóa học</t>
        </is>
      </c>
      <c r="E25" s="4" t="inlineStr">
        <is>
          <t>P0</t>
        </is>
      </c>
      <c r="F25" s="4" t="inlineStr">
        <is>
          <t>Boundary</t>
        </is>
      </c>
      <c r="G25" s="4" t="inlineStr">
        <is>
          <t>Đã đăng nhập bằng admin/admin@123.</t>
        </is>
      </c>
      <c r="H25" s="4" t="inlineStr">
        <is>
          <t>-1; 0; 100000000; 100000001</t>
        </is>
      </c>
      <c r="I25" s="4" t="inlineStr">
        <is>
          <t>Tạo/cập nhật lần lượt với từng giá trị học phí</t>
        </is>
      </c>
      <c r="J25" s="4" t="inlineStr">
        <is>
          <t>0 và 100.000.000 hợp lệ; -1 và 100.000.001 bị từ chối.</t>
        </is>
      </c>
      <c r="K25" s="4" t="inlineStr"/>
      <c r="L25" s="4" t="inlineStr">
        <is>
          <t>Chưa chạy</t>
        </is>
      </c>
      <c r="M25" s="4" t="inlineStr">
        <is>
          <t>High</t>
        </is>
      </c>
      <c r="N25" s="4" t="inlineStr"/>
      <c r="O25" s="4" t="inlineStr"/>
      <c r="P25" s="4" t="inlineStr"/>
    </row>
    <row r="26" ht="72" customHeight="1">
      <c r="A26" s="4" t="inlineStr">
        <is>
          <t>TC-COURSE-011</t>
        </is>
      </c>
      <c r="B26" s="4" t="inlineStr">
        <is>
          <t>Course</t>
        </is>
      </c>
      <c r="C26" s="4" t="inlineStr">
        <is>
          <t>REQ-COURSE-006</t>
        </is>
      </c>
      <c r="D26" s="4" t="inlineStr">
        <is>
          <t>Biên tổng số buổi học</t>
        </is>
      </c>
      <c r="E26" s="4" t="inlineStr">
        <is>
          <t>P0</t>
        </is>
      </c>
      <c r="F26" s="4" t="inlineStr">
        <is>
          <t>Boundary</t>
        </is>
      </c>
      <c r="G26" s="4" t="inlineStr">
        <is>
          <t>Đã đăng nhập bằng admin/admin@123.</t>
        </is>
      </c>
      <c r="H26" s="4" t="inlineStr">
        <is>
          <t>0; 1; 200; 201</t>
        </is>
      </c>
      <c r="I26" s="4" t="inlineStr">
        <is>
          <t>Tạo/cập nhật lần lượt với từng tổng số buổi</t>
        </is>
      </c>
      <c r="J26" s="4" t="inlineStr">
        <is>
          <t>1 và 200 hợp lệ; 0 và 201 bị từ chối.</t>
        </is>
      </c>
      <c r="K26" s="4" t="inlineStr"/>
      <c r="L26" s="4" t="inlineStr">
        <is>
          <t>Chưa chạy</t>
        </is>
      </c>
      <c r="M26" s="4" t="inlineStr">
        <is>
          <t>High</t>
        </is>
      </c>
      <c r="N26" s="4" t="inlineStr"/>
      <c r="O26" s="4" t="inlineStr"/>
      <c r="P26" s="4" t="inlineStr"/>
    </row>
    <row r="27" ht="72" customHeight="1">
      <c r="A27" s="4" t="inlineStr">
        <is>
          <t>TC-COURSE-012</t>
        </is>
      </c>
      <c r="B27" s="4" t="inlineStr">
        <is>
          <t>Course</t>
        </is>
      </c>
      <c r="C27" s="4" t="inlineStr">
        <is>
          <t>REQ-COURSE-007</t>
        </is>
      </c>
      <c r="D27" s="4" t="inlineStr">
        <is>
          <t>Cập nhật khóa học và xử lý ảnh</t>
        </is>
      </c>
      <c r="E27" s="4" t="inlineStr">
        <is>
          <t>P1</t>
        </is>
      </c>
      <c r="F27" s="4" t="inlineStr">
        <is>
          <t>Regression</t>
        </is>
      </c>
      <c r="G27" s="4" t="inlineStr">
        <is>
          <t>Có khóa học QA với ảnh riêng; đã đăng nhập Admin.</t>
        </is>
      </c>
      <c r="H27" s="4" t="inlineStr">
        <is>
          <t>Đổi tên không chọn ảnh, sau đó chọn ảnh mới</t>
        </is>
      </c>
      <c r="I27" s="4" t="inlineStr">
        <is>
          <t>Lần 1 giữ nguyên URL ảnh cũ; lần 2 dùng ảnh mới và xóa file ảnh cũ không phải ảnh mặc định.</t>
        </is>
      </c>
      <c r="J27" s="4" t="inlineStr">
        <is>
          <t>High</t>
        </is>
      </c>
      <c r="K27" s="4" t="inlineStr"/>
      <c r="L27" s="4" t="inlineStr">
        <is>
          <t>Chưa chạy</t>
        </is>
      </c>
      <c r="M27" s="4" t="inlineStr">
        <is>
          <t>Medium</t>
        </is>
      </c>
      <c r="N27" s="4" t="inlineStr"/>
      <c r="O27" s="4" t="inlineStr"/>
      <c r="P27" s="4" t="inlineStr"/>
    </row>
    <row r="28" ht="72" customHeight="1">
      <c r="A28" s="4" t="inlineStr">
        <is>
          <t>TC-COURSE-013</t>
        </is>
      </c>
      <c r="B28" s="4" t="inlineStr">
        <is>
          <t>Course</t>
        </is>
      </c>
      <c r="C28" s="4" t="inlineStr">
        <is>
          <t>REQ-COURSE-008</t>
        </is>
      </c>
      <c r="D28" s="4" t="inlineStr">
        <is>
          <t>Xóa khóa học chưa có lớp</t>
        </is>
      </c>
      <c r="E28" s="4" t="inlineStr">
        <is>
          <t>P0</t>
        </is>
      </c>
      <c r="F28" s="4" t="inlineStr">
        <is>
          <t>Functional</t>
        </is>
      </c>
      <c r="G28" s="4" t="inlineStr">
        <is>
          <t>Có khóa học QA chưa liên kết lớp.</t>
        </is>
      </c>
      <c r="H28" s="4" t="inlineStr">
        <is>
          <t>Course QA độc lập</t>
        </is>
      </c>
      <c r="I28" s="4" t="inlineStr">
        <is>
          <t>1. Mở Delete
2. Xác nhận xóa</t>
        </is>
      </c>
      <c r="J28" s="4" t="inlineStr">
        <is>
          <t>Xóa thành công, thông báo phù hợp và bản ghi không còn trong danh sách.</t>
        </is>
      </c>
      <c r="K28" s="4" t="inlineStr"/>
      <c r="L28" s="4" t="inlineStr">
        <is>
          <t>Chưa chạy</t>
        </is>
      </c>
      <c r="M28" s="4" t="inlineStr">
        <is>
          <t>Critical</t>
        </is>
      </c>
      <c r="N28" s="4" t="inlineStr"/>
      <c r="O28" s="4" t="inlineStr"/>
      <c r="P28" s="4" t="inlineStr"/>
    </row>
    <row r="29" ht="72" customHeight="1">
      <c r="A29" s="4" t="inlineStr">
        <is>
          <t>TC-COURSE-014</t>
        </is>
      </c>
      <c r="B29" s="4" t="inlineStr">
        <is>
          <t>Course</t>
        </is>
      </c>
      <c r="C29" s="4" t="inlineStr">
        <is>
          <t>REQ-COURSE-008</t>
        </is>
      </c>
      <c r="D29" s="4" t="inlineStr">
        <is>
          <t>Chặn xóa khóa học đã có lớp</t>
        </is>
      </c>
      <c r="E29" s="4" t="inlineStr">
        <is>
          <t>P0</t>
        </is>
      </c>
      <c r="F29" s="4" t="inlineStr">
        <is>
          <t>Negative</t>
        </is>
      </c>
      <c r="G29" s="4" t="inlineStr">
        <is>
          <t>Đã đăng nhập Admin; có dữ liệu seed và dữ liệu QA cần thiết.</t>
        </is>
      </c>
      <c r="H29" s="4" t="inlineStr">
        <is>
          <t>Khóa IELTS có lớp IELTS-K02</t>
        </is>
      </c>
      <c r="I29" s="4" t="inlineStr">
        <is>
          <t>1. Mở Delete khóa IELTS
2. Xác nhận</t>
        </is>
      </c>
      <c r="J29" s="4" t="inlineStr">
        <is>
          <t>Không xóa; hiển thị thông báo khóa học đã có lớp liên kết; dữ liệu lớp còn nguyên.</t>
        </is>
      </c>
      <c r="K29" s="4" t="inlineStr"/>
      <c r="L29" s="4" t="inlineStr">
        <is>
          <t>Chưa chạy</t>
        </is>
      </c>
      <c r="M29" s="4" t="inlineStr">
        <is>
          <t>Critical</t>
        </is>
      </c>
      <c r="N29" s="4" t="inlineStr"/>
      <c r="O29" s="4" t="inlineStr"/>
      <c r="P29" s="4" t="inlineStr"/>
    </row>
    <row r="30" ht="72" customHeight="1">
      <c r="A30" s="4" t="inlineStr">
        <is>
          <t>TC-CLASS-001</t>
        </is>
      </c>
      <c r="B30" s="4" t="inlineStr">
        <is>
          <t>Class</t>
        </is>
      </c>
      <c r="C30" s="4" t="inlineStr">
        <is>
          <t>REQ-CLASS-001</t>
        </is>
      </c>
      <c r="D30" s="4" t="inlineStr">
        <is>
          <t>Hiển thị danh sách lớp và số ghi danh</t>
        </is>
      </c>
      <c r="E30" s="4" t="inlineStr">
        <is>
          <t>P1</t>
        </is>
      </c>
      <c r="F30" s="4" t="inlineStr">
        <is>
          <t>Smoke</t>
        </is>
      </c>
      <c r="G30" s="4" t="inlineStr">
        <is>
          <t>Đã đăng nhập bằng admin/admin@123.</t>
        </is>
      </c>
      <c r="H30" s="4" t="inlineStr">
        <is>
          <t>Dữ liệu seed</t>
        </is>
      </c>
      <c r="I30" s="4" t="inlineStr">
        <is>
          <t>1. Mở /Class
2. Đối chiếu lớp, khóa học và sĩ số hiện tại</t>
        </is>
      </c>
      <c r="J30" s="4" t="inlineStr">
        <is>
          <t>Danh sách đúng dữ liệu; lớp mới hơn trước; số ghi danh đúng.</t>
        </is>
      </c>
      <c r="K30" s="4" t="inlineStr"/>
      <c r="L30" s="4" t="inlineStr">
        <is>
          <t>Chưa chạy</t>
        </is>
      </c>
      <c r="M30" s="4" t="inlineStr">
        <is>
          <t>High</t>
        </is>
      </c>
      <c r="N30" s="4" t="inlineStr"/>
      <c r="O30" s="4" t="inlineStr"/>
      <c r="P30" s="4" t="inlineStr"/>
    </row>
    <row r="31" ht="72" customHeight="1">
      <c r="A31" s="4" t="inlineStr">
        <is>
          <t>TC-CLASS-002</t>
        </is>
      </c>
      <c r="B31" s="4" t="inlineStr">
        <is>
          <t>Class</t>
        </is>
      </c>
      <c r="C31" s="4" t="inlineStr">
        <is>
          <t>REQ-CLASS-001</t>
        </is>
      </c>
      <c r="D31" s="4" t="inlineStr">
        <is>
          <t>Tìm lớp theo mã, tên và giảng viên</t>
        </is>
      </c>
      <c r="E31" s="4" t="inlineStr">
        <is>
          <t>P1</t>
        </is>
      </c>
      <c r="F31" s="4" t="inlineStr">
        <is>
          <t>Functional</t>
        </is>
      </c>
      <c r="G31" s="4" t="inlineStr">
        <is>
          <t>Đã đăng nhập bằng admin/admin@123.</t>
        </is>
      </c>
      <c r="H31" s="4" t="inlineStr">
        <is>
          <t>GT-K01; Giao Tiếp; John</t>
        </is>
      </c>
      <c r="I31" s="4" t="inlineStr">
        <is>
          <t>Tìm lần lượt bằng ba từ khóa</t>
        </is>
      </c>
      <c r="J31" s="4" t="inlineStr">
        <is>
          <t>Mỗi từ khóa trả đúng lớp phù hợp với ClassCode, ClassName hoặc LecturerName.</t>
        </is>
      </c>
      <c r="K31" s="4" t="inlineStr"/>
      <c r="L31" s="4" t="inlineStr">
        <is>
          <t>Chưa chạy</t>
        </is>
      </c>
      <c r="M31" s="4" t="inlineStr">
        <is>
          <t>Medium</t>
        </is>
      </c>
      <c r="N31" s="4" t="inlineStr"/>
      <c r="O31" s="4" t="inlineStr"/>
      <c r="P31" s="4" t="inlineStr"/>
    </row>
    <row r="32" ht="72" customHeight="1">
      <c r="A32" s="4" t="inlineStr">
        <is>
          <t>TC-CLASS-003</t>
        </is>
      </c>
      <c r="B32" s="4" t="inlineStr">
        <is>
          <t>Class</t>
        </is>
      </c>
      <c r="C32" s="4" t="inlineStr">
        <is>
          <t>REQ-CLASS-002</t>
        </is>
      </c>
      <c r="D32" s="4" t="inlineStr">
        <is>
          <t>Lọc lớp theo khóa học</t>
        </is>
      </c>
      <c r="E32" s="4" t="inlineStr">
        <is>
          <t>P1</t>
        </is>
      </c>
      <c r="F32" s="4" t="inlineStr">
        <is>
          <t>Functional</t>
        </is>
      </c>
      <c r="G32" s="4" t="inlineStr">
        <is>
          <t>Đã đăng nhập bằng admin/admin@123.</t>
        </is>
      </c>
      <c r="H32" s="4" t="inlineStr">
        <is>
          <t>Course IELTS</t>
        </is>
      </c>
      <c r="I32" s="4" t="inlineStr">
        <is>
          <t>1. Chọn khóa IELTS
2. Lọc</t>
        </is>
      </c>
      <c r="J32" s="4" t="inlineStr">
        <is>
          <t>Chỉ hiển thị lớp thuộc khóa IELTS.</t>
        </is>
      </c>
      <c r="K32" s="4" t="inlineStr"/>
      <c r="L32" s="4" t="inlineStr">
        <is>
          <t>Chưa chạy</t>
        </is>
      </c>
      <c r="M32" s="4" t="inlineStr">
        <is>
          <t>Medium</t>
        </is>
      </c>
      <c r="N32" s="4" t="inlineStr"/>
      <c r="O32" s="4" t="inlineStr"/>
      <c r="P32" s="4" t="inlineStr"/>
    </row>
    <row r="33" ht="72" customHeight="1">
      <c r="A33" s="4" t="inlineStr">
        <is>
          <t>TC-CLASS-004</t>
        </is>
      </c>
      <c r="B33" s="4" t="inlineStr">
        <is>
          <t>Class</t>
        </is>
      </c>
      <c r="C33" s="4" t="inlineStr">
        <is>
          <t>REQ-CLASS-002</t>
        </is>
      </c>
      <c r="D33" s="4" t="inlineStr">
        <is>
          <t>Kết hợp tìm kiếm và lọc khóa học</t>
        </is>
      </c>
      <c r="E33" s="4" t="inlineStr">
        <is>
          <t>P2</t>
        </is>
      </c>
      <c r="F33" s="4" t="inlineStr">
        <is>
          <t>Functional</t>
        </is>
      </c>
      <c r="G33" s="4" t="inlineStr">
        <is>
          <t>Đã đăng nhập bằng admin/admin@123.</t>
        </is>
      </c>
      <c r="H33" s="4" t="inlineStr">
        <is>
          <t>search=K02; course=IELTS</t>
        </is>
      </c>
      <c r="I33" s="4" t="inlineStr">
        <is>
          <t>Áp dụng đồng thời từ khóa và khóa học</t>
        </is>
      </c>
      <c r="J33" s="4" t="inlineStr">
        <is>
          <t>Kết quả thỏa cả hai điều kiện; filter vẫn hiển thị giá trị đang chọn.</t>
        </is>
      </c>
      <c r="K33" s="4" t="inlineStr"/>
      <c r="L33" s="4" t="inlineStr">
        <is>
          <t>Chưa chạy</t>
        </is>
      </c>
      <c r="M33" s="4" t="inlineStr">
        <is>
          <t>Medium</t>
        </is>
      </c>
      <c r="N33" s="4" t="inlineStr"/>
      <c r="O33" s="4" t="inlineStr"/>
      <c r="P33" s="4" t="inlineStr"/>
    </row>
    <row r="34" ht="72" customHeight="1">
      <c r="A34" s="4" t="inlineStr">
        <is>
          <t>TC-CLASS-005</t>
        </is>
      </c>
      <c r="B34" s="4" t="inlineStr">
        <is>
          <t>Class</t>
        </is>
      </c>
      <c r="C34" s="4" t="inlineStr">
        <is>
          <t>REQ-CLASS-002</t>
        </is>
      </c>
      <c r="D34" s="4" t="inlineStr">
        <is>
          <t>Phân trang lớp 5 bản ghi và giữ bộ lọc</t>
        </is>
      </c>
      <c r="E34" s="4" t="inlineStr">
        <is>
          <t>P2</t>
        </is>
      </c>
      <c r="F34" s="4" t="inlineStr">
        <is>
          <t>Regression</t>
        </is>
      </c>
      <c r="G34" s="4" t="inlineStr">
        <is>
          <t>Có ít nhất 7 lớp cùng khóa; đã lọc khóa học.</t>
        </is>
      </c>
      <c r="H34" s="4" t="inlineStr">
        <is>
          <t>page=2</t>
        </is>
      </c>
      <c r="I34" s="4" t="inlineStr">
        <is>
          <t>1. Chuyển sang trang 2
2. Quay lại trang 1</t>
        </is>
      </c>
      <c r="J34" s="4" t="inlineStr">
        <is>
          <t>Mỗi trang tối đa 5 bản ghi và tham số search/courseId được giữ.</t>
        </is>
      </c>
      <c r="K34" s="4" t="inlineStr"/>
      <c r="L34" s="4" t="inlineStr">
        <is>
          <t>Chưa chạy</t>
        </is>
      </c>
      <c r="M34" s="4" t="inlineStr">
        <is>
          <t>Medium</t>
        </is>
      </c>
      <c r="N34" s="4" t="inlineStr"/>
      <c r="O34" s="4" t="inlineStr"/>
      <c r="P34" s="4" t="inlineStr"/>
    </row>
    <row r="35" ht="72" customHeight="1">
      <c r="A35" s="4" t="inlineStr">
        <is>
          <t>TC-CLASS-006</t>
        </is>
      </c>
      <c r="B35" s="4" t="inlineStr">
        <is>
          <t>Class</t>
        </is>
      </c>
      <c r="C35" s="4" t="inlineStr">
        <is>
          <t>REQ-CLASS-003</t>
        </is>
      </c>
      <c r="D35" s="4" t="inlineStr">
        <is>
          <t>Xem chi tiết lớp và học viên ghi danh</t>
        </is>
      </c>
      <c r="E35" s="4" t="inlineStr">
        <is>
          <t>P1</t>
        </is>
      </c>
      <c r="F35" s="4" t="inlineStr">
        <is>
          <t>Functional</t>
        </is>
      </c>
      <c r="G35" s="4" t="inlineStr">
        <is>
          <t>Đã đăng nhập Admin; có dữ liệu seed và dữ liệu QA cần thiết.</t>
        </is>
      </c>
      <c r="H35" s="4" t="inlineStr">
        <is>
          <t>GT-K01</t>
        </is>
      </c>
      <c r="I35" s="4" t="inlineStr">
        <is>
          <t>1. Mở Details GT-K01
2. Kiểm tra khóa học và học viên</t>
        </is>
      </c>
      <c r="J35" s="4" t="inlineStr">
        <is>
          <t>Hiển thị đúng khóa học, thông tin lớp và các học viên seed đã ghi danh.</t>
        </is>
      </c>
      <c r="K35" s="4" t="inlineStr"/>
      <c r="L35" s="4" t="inlineStr">
        <is>
          <t>Chưa chạy</t>
        </is>
      </c>
      <c r="M35" s="4" t="inlineStr">
        <is>
          <t>High</t>
        </is>
      </c>
      <c r="N35" s="4" t="inlineStr"/>
      <c r="O35" s="4" t="inlineStr"/>
      <c r="P35" s="4" t="inlineStr"/>
    </row>
    <row r="36" ht="72" customHeight="1">
      <c r="A36" s="4" t="inlineStr">
        <is>
          <t>TC-CLASS-007</t>
        </is>
      </c>
      <c r="B36" s="4" t="inlineStr">
        <is>
          <t>Class</t>
        </is>
      </c>
      <c r="C36" s="4" t="inlineStr">
        <is>
          <t>REQ-CLASS-004</t>
        </is>
      </c>
      <c r="D36" s="4" t="inlineStr">
        <is>
          <t>Tạo lớp hợp lệ</t>
        </is>
      </c>
      <c r="E36" s="4" t="inlineStr">
        <is>
          <t>P0</t>
        </is>
      </c>
      <c r="F36" s="4" t="inlineStr">
        <is>
          <t>Smoke</t>
        </is>
      </c>
      <c r="G36" s="4" t="inlineStr">
        <is>
          <t>Đã đăng nhập bằng admin/admin@123.</t>
        </is>
      </c>
      <c r="H36" s="4" t="inlineStr">
        <is>
          <t>QA-CLASS-01; lớp QA; khóa active; lịch học; start date; capacity=20</t>
        </is>
      </c>
      <c r="I36" s="4" t="inlineStr">
        <is>
          <t>1. Mở Create
2. Nhập dữ liệu
3. Lưu</t>
        </is>
      </c>
      <c r="J36" s="4" t="inlineStr">
        <is>
          <t>Tạo thành công, thông báo phù hợp và lớp xuất hiện trong danh sách.</t>
        </is>
      </c>
      <c r="K36" s="4" t="inlineStr"/>
      <c r="L36" s="4" t="inlineStr">
        <is>
          <t>Chưa chạy</t>
        </is>
      </c>
      <c r="M36" s="4" t="inlineStr">
        <is>
          <t>Critical</t>
        </is>
      </c>
      <c r="N36" s="4" t="inlineStr"/>
      <c r="O36" s="4" t="inlineStr"/>
      <c r="P36" s="4" t="inlineStr"/>
    </row>
    <row r="37" ht="72" customHeight="1">
      <c r="A37" s="4" t="inlineStr">
        <is>
          <t>TC-CLASS-008</t>
        </is>
      </c>
      <c r="B37" s="4" t="inlineStr">
        <is>
          <t>Class</t>
        </is>
      </c>
      <c r="C37" s="4" t="inlineStr">
        <is>
          <t>REQ-CLASS-005</t>
        </is>
      </c>
      <c r="D37" s="4" t="inlineStr">
        <is>
          <t>Chặn ClassCode trùng</t>
        </is>
      </c>
      <c r="E37" s="4" t="inlineStr">
        <is>
          <t>P0</t>
        </is>
      </c>
      <c r="F37" s="4" t="inlineStr">
        <is>
          <t>Negative</t>
        </is>
      </c>
      <c r="G37" s="4" t="inlineStr">
        <is>
          <t>Đã đăng nhập Admin; có dữ liệu seed và dữ liệu QA cần thiết.</t>
        </is>
      </c>
      <c r="H37" s="4" t="inlineStr">
        <is>
          <t>ClassCode=GT-K01</t>
        </is>
      </c>
      <c r="I37" s="4" t="inlineStr">
        <is>
          <t>1. Mở Create
2. Nhập mã GT-K01 và dữ liệu hợp lệ
3. Lưu</t>
        </is>
      </c>
      <c r="J37" s="4" t="inlineStr">
        <is>
          <t>Không tạo; hiển thị 'Mã lớp này đã tồn tại trên hệ thống'.</t>
        </is>
      </c>
      <c r="K37" s="4" t="inlineStr"/>
      <c r="L37" s="4" t="inlineStr">
        <is>
          <t>Chưa chạy</t>
        </is>
      </c>
      <c r="M37" s="4" t="inlineStr">
        <is>
          <t>Critical</t>
        </is>
      </c>
      <c r="N37" s="4" t="inlineStr"/>
      <c r="O37" s="4" t="inlineStr"/>
      <c r="P37" s="4" t="inlineStr"/>
    </row>
    <row r="38" ht="72" customHeight="1">
      <c r="A38" s="4" t="inlineStr">
        <is>
          <t>TC-CLASS-009</t>
        </is>
      </c>
      <c r="B38" s="4" t="inlineStr">
        <is>
          <t>Class</t>
        </is>
      </c>
      <c r="C38" s="4" t="inlineStr">
        <is>
          <t>REQ-CLASS-006</t>
        </is>
      </c>
      <c r="D38" s="4" t="inlineStr">
        <is>
          <t>Kiểm tra trường lớp bắt buộc</t>
        </is>
      </c>
      <c r="E38" s="4" t="inlineStr">
        <is>
          <t>P0</t>
        </is>
      </c>
      <c r="F38" s="4" t="inlineStr">
        <is>
          <t>Validation</t>
        </is>
      </c>
      <c r="G38" s="4" t="inlineStr">
        <is>
          <t>Đã đăng nhập bằng admin/admin@123.</t>
        </is>
      </c>
      <c r="H38" s="4" t="inlineStr">
        <is>
          <t>Bỏ trống lần lượt ClassCode, ClassName, CourseId, Schedule, StartDate</t>
        </is>
      </c>
      <c r="I38" s="4" t="inlineStr">
        <is>
          <t>Submit form cho từng trường hợp thiếu</t>
        </is>
      </c>
      <c r="J38" s="4" t="inlineStr">
        <is>
          <t>Hiển thị validation tương ứng và không tạo lớp.</t>
        </is>
      </c>
      <c r="K38" s="4" t="inlineStr"/>
      <c r="L38" s="4" t="inlineStr">
        <is>
          <t>Chưa chạy</t>
        </is>
      </c>
      <c r="M38" s="4" t="inlineStr">
        <is>
          <t>High</t>
        </is>
      </c>
      <c r="N38" s="4" t="inlineStr"/>
      <c r="O38" s="4" t="inlineStr"/>
      <c r="P38" s="4" t="inlineStr"/>
    </row>
    <row r="39" ht="72" customHeight="1">
      <c r="A39" s="4" t="inlineStr">
        <is>
          <t>TC-CLASS-010</t>
        </is>
      </c>
      <c r="B39" s="4" t="inlineStr">
        <is>
          <t>Class</t>
        </is>
      </c>
      <c r="C39" s="4" t="inlineStr">
        <is>
          <t>REQ-CLASS-006</t>
        </is>
      </c>
      <c r="D39" s="4" t="inlineStr">
        <is>
          <t>Giới hạn độ dài dữ liệu lớp</t>
        </is>
      </c>
      <c r="E39" s="4" t="inlineStr">
        <is>
          <t>P1</t>
        </is>
      </c>
      <c r="F39" s="4" t="inlineStr">
        <is>
          <t>Boundary</t>
        </is>
      </c>
      <c r="G39" s="4" t="inlineStr">
        <is>
          <t>Đã đăng nhập bằng admin/admin@123.</t>
        </is>
      </c>
      <c r="H39" s="4" t="inlineStr">
        <is>
          <t>ClassCode 20/21; ClassName 100/101; Lecturer 100/101; Schedule 100/101; Room 50/51</t>
        </is>
      </c>
      <c r="I39" s="4" t="inlineStr">
        <is>
          <t>Thử lần lượt giá trị tại biên và vượt biên</t>
        </is>
      </c>
      <c r="J39" s="4" t="inlineStr">
        <is>
          <t>Giá trị tại biên được chấp nhận; vượt biên bị từ chối đúng trường.</t>
        </is>
      </c>
      <c r="K39" s="4" t="inlineStr"/>
      <c r="L39" s="4" t="inlineStr">
        <is>
          <t>Chưa chạy</t>
        </is>
      </c>
      <c r="M39" s="4" t="inlineStr">
        <is>
          <t>Medium</t>
        </is>
      </c>
      <c r="N39" s="4" t="inlineStr"/>
      <c r="O39" s="4" t="inlineStr"/>
      <c r="P39" s="4" t="inlineStr"/>
    </row>
    <row r="40" ht="72" customHeight="1">
      <c r="A40" s="4" t="inlineStr">
        <is>
          <t>TC-CLASS-011</t>
        </is>
      </c>
      <c r="B40" s="4" t="inlineStr">
        <is>
          <t>Class</t>
        </is>
      </c>
      <c r="C40" s="4" t="inlineStr">
        <is>
          <t>REQ-CLASS-006</t>
        </is>
      </c>
      <c r="D40" s="4" t="inlineStr">
        <is>
          <t>Biên sĩ số tối đa</t>
        </is>
      </c>
      <c r="E40" s="4" t="inlineStr">
        <is>
          <t>P0</t>
        </is>
      </c>
      <c r="F40" s="4" t="inlineStr">
        <is>
          <t>Boundary</t>
        </is>
      </c>
      <c r="G40" s="4" t="inlineStr">
        <is>
          <t>Đã đăng nhập bằng admin/admin@123.</t>
        </is>
      </c>
      <c r="H40" s="4" t="inlineStr">
        <is>
          <t>0; 1; 100; 101</t>
        </is>
      </c>
      <c r="I40" s="4" t="inlineStr">
        <is>
          <t>Tạo/cập nhật lớp lần lượt với từng MaxCapacity</t>
        </is>
      </c>
      <c r="J40" s="4" t="inlineStr">
        <is>
          <t>1 và 100 hợp lệ; 0 và 101 bị validation.</t>
        </is>
      </c>
      <c r="K40" s="4" t="inlineStr"/>
      <c r="L40" s="4" t="inlineStr">
        <is>
          <t>Chưa chạy</t>
        </is>
      </c>
      <c r="M40" s="4" t="inlineStr">
        <is>
          <t>High</t>
        </is>
      </c>
      <c r="N40" s="4" t="inlineStr"/>
      <c r="O40" s="4" t="inlineStr"/>
      <c r="P40" s="4" t="inlineStr"/>
    </row>
    <row r="41" ht="72" customHeight="1">
      <c r="A41" s="4" t="inlineStr">
        <is>
          <t>TC-CLASS-012</t>
        </is>
      </c>
      <c r="B41" s="4" t="inlineStr">
        <is>
          <t>Class</t>
        </is>
      </c>
      <c r="C41" s="4" t="inlineStr">
        <is>
          <t>REQ-CLASS-004</t>
        </is>
      </c>
      <c r="D41" s="4" t="inlineStr">
        <is>
          <t>Dropdown tạo lớp chỉ có khóa học active</t>
        </is>
      </c>
      <c r="E41" s="4" t="inlineStr">
        <is>
          <t>P1</t>
        </is>
      </c>
      <c r="F41" s="4" t="inlineStr">
        <is>
          <t>Functional</t>
        </is>
      </c>
      <c r="G41" s="4" t="inlineStr">
        <is>
          <t>Có một Course IsActive=false và một Course active.</t>
        </is>
      </c>
      <c r="H41" s="4" t="inlineStr">
        <is>
          <t>Hai khóa học test</t>
        </is>
      </c>
      <c r="I41" s="4" t="inlineStr">
        <is>
          <t>1. Mở Class/Create
2. Kiểm tra danh sách khóa học</t>
        </is>
      </c>
      <c r="J41" s="4" t="inlineStr">
        <is>
          <t>Chỉ khóa active xuất hiện; khóa inactive không thể chọn từ UI.</t>
        </is>
      </c>
      <c r="K41" s="4" t="inlineStr"/>
      <c r="L41" s="4" t="inlineStr">
        <is>
          <t>Chưa chạy</t>
        </is>
      </c>
      <c r="M41" s="4" t="inlineStr">
        <is>
          <t>High</t>
        </is>
      </c>
      <c r="N41" s="4" t="inlineStr"/>
      <c r="O41" s="4" t="inlineStr"/>
      <c r="P41" s="4" t="inlineStr"/>
    </row>
    <row r="42" ht="72" customHeight="1">
      <c r="A42" s="4" t="inlineStr">
        <is>
          <t>TC-CLASS-013</t>
        </is>
      </c>
      <c r="B42" s="4" t="inlineStr">
        <is>
          <t>Class</t>
        </is>
      </c>
      <c r="C42" s="4" t="inlineStr">
        <is>
          <t>REQ-CLASS-007</t>
        </is>
      </c>
      <c r="D42" s="4" t="inlineStr">
        <is>
          <t>Cập nhật thông tin lớp</t>
        </is>
      </c>
      <c r="E42" s="4" t="inlineStr">
        <is>
          <t>P1</t>
        </is>
      </c>
      <c r="F42" s="4" t="inlineStr">
        <is>
          <t>Functional</t>
        </is>
      </c>
      <c r="G42" s="4" t="inlineStr">
        <is>
          <t>Có lớp QA chưa có xung đột.</t>
        </is>
      </c>
      <c r="H42" s="4" t="inlineStr">
        <is>
          <t>Đổi tên, giảng viên, lịch, phòng, ngày và capacity</t>
        </is>
      </c>
      <c r="I42" s="4" t="inlineStr">
        <is>
          <t>1. Mở Edit
2. Thay đổi dữ liệu
3. Lưu
4. Mở Details</t>
        </is>
      </c>
      <c r="J42" s="4" t="inlineStr">
        <is>
          <t>Cập nhật thành công và toàn bộ giá trị mới được hiển thị đúng.</t>
        </is>
      </c>
      <c r="K42" s="4" t="inlineStr"/>
      <c r="L42" s="4" t="inlineStr">
        <is>
          <t>Chưa chạy</t>
        </is>
      </c>
      <c r="M42" s="4" t="inlineStr">
        <is>
          <t>High</t>
        </is>
      </c>
      <c r="N42" s="4" t="inlineStr"/>
      <c r="O42" s="4" t="inlineStr"/>
      <c r="P42" s="4" t="inlineStr"/>
    </row>
    <row r="43" ht="72" customHeight="1">
      <c r="A43" s="4" t="inlineStr">
        <is>
          <t>TC-CLASS-014</t>
        </is>
      </c>
      <c r="B43" s="4" t="inlineStr">
        <is>
          <t>Class</t>
        </is>
      </c>
      <c r="C43" s="4" t="inlineStr">
        <is>
          <t>REQ-CLASS-008</t>
        </is>
      </c>
      <c r="D43" s="4" t="inlineStr">
        <is>
          <t>Xóa lớp chưa có ghi danh và chặn lớp đã có ghi danh</t>
        </is>
      </c>
      <c r="E43" s="4" t="inlineStr">
        <is>
          <t>P0</t>
        </is>
      </c>
      <c r="F43" s="4" t="inlineStr">
        <is>
          <t>Regression</t>
        </is>
      </c>
      <c r="G43" s="4" t="inlineStr">
        <is>
          <t>Có lớp QA rỗng và lớp GT-K01 có ghi danh.</t>
        </is>
      </c>
      <c r="H43" s="4" t="inlineStr">
        <is>
          <t>Hai lớp test</t>
        </is>
      </c>
      <c r="I43" s="4" t="inlineStr">
        <is>
          <t>1. Xóa lớp QA rỗng
2. Thử xóa GT-K01</t>
        </is>
      </c>
      <c r="J43" s="4" t="inlineStr">
        <is>
          <t>Lớp rỗng bị xóa; GT-K01 không bị xóa và có thông báo đã có học viên đăng ký.</t>
        </is>
      </c>
      <c r="K43" s="4" t="inlineStr"/>
      <c r="L43" s="4" t="inlineStr">
        <is>
          <t>Chưa chạy</t>
        </is>
      </c>
      <c r="M43" s="4" t="inlineStr">
        <is>
          <t>Critical</t>
        </is>
      </c>
      <c r="N43" s="4" t="inlineStr"/>
      <c r="O43" s="4" t="inlineStr"/>
      <c r="P43" s="4" t="inlineStr"/>
    </row>
    <row r="44" ht="72" customHeight="1">
      <c r="A44" s="4" t="inlineStr">
        <is>
          <t>TC-ENROLLMENT-001</t>
        </is>
      </c>
      <c r="B44" s="4" t="inlineStr">
        <is>
          <t>Enrollment</t>
        </is>
      </c>
      <c r="C44" s="4" t="inlineStr">
        <is>
          <t>REQ-ENR-001</t>
        </is>
      </c>
      <c r="D44" s="4" t="inlineStr">
        <is>
          <t>Hiển thị danh sách ghi danh mới nhất</t>
        </is>
      </c>
      <c r="E44" s="4" t="inlineStr">
        <is>
          <t>P1</t>
        </is>
      </c>
      <c r="F44" s="4" t="inlineStr">
        <is>
          <t>Smoke</t>
        </is>
      </c>
      <c r="G44" s="4" t="inlineStr">
        <is>
          <t>Đã đăng nhập bằng admin/admin@123.</t>
        </is>
      </c>
      <c r="H44" s="4" t="inlineStr">
        <is>
          <t>Dữ liệu seed</t>
        </is>
      </c>
      <c r="I44" s="4" t="inlineStr">
        <is>
          <t>1. Mở /Enrollment
2. Đối chiếu học viên, lớp, học phí và trạng thái</t>
        </is>
      </c>
      <c r="J44" s="4" t="inlineStr">
        <is>
          <t>Danh sách đúng dữ liệu và EnrollmentId lớn hơn nằm trước.</t>
        </is>
      </c>
      <c r="K44" s="4" t="inlineStr"/>
      <c r="L44" s="4" t="inlineStr">
        <is>
          <t>Chưa chạy</t>
        </is>
      </c>
      <c r="M44" s="4" t="inlineStr">
        <is>
          <t>High</t>
        </is>
      </c>
      <c r="N44" s="4" t="inlineStr"/>
      <c r="O44" s="4" t="inlineStr"/>
      <c r="P44" s="4" t="inlineStr"/>
    </row>
    <row r="45" ht="72" customHeight="1">
      <c r="A45" s="4" t="inlineStr">
        <is>
          <t>TC-ENROLLMENT-002</t>
        </is>
      </c>
      <c r="B45" s="4" t="inlineStr">
        <is>
          <t>Enrollment</t>
        </is>
      </c>
      <c r="C45" s="4" t="inlineStr">
        <is>
          <t>REQ-ENR-001</t>
        </is>
      </c>
      <c r="D45" s="4" t="inlineStr">
        <is>
          <t>Tìm ghi danh theo học viên hoặc lớp</t>
        </is>
      </c>
      <c r="E45" s="4" t="inlineStr">
        <is>
          <t>P1</t>
        </is>
      </c>
      <c r="F45" s="4" t="inlineStr">
        <is>
          <t>Functional</t>
        </is>
      </c>
      <c r="G45" s="4" t="inlineStr">
        <is>
          <t>Đã đăng nhập bằng admin/admin@123.</t>
        </is>
      </c>
      <c r="H45" s="4" t="inlineStr">
        <is>
          <t>Nguyễn Văn An; SV2026001; GT-K01; Giao Tiếp K01</t>
        </is>
      </c>
      <c r="I45" s="4" t="inlineStr">
        <is>
          <t>Tìm lần lượt bằng tên, mã học viên, mã lớp và tên lớp</t>
        </is>
      </c>
      <c r="J45" s="4" t="inlineStr">
        <is>
          <t>Mỗi lần trả các ghi danh chứa từ khóa ở trường tương ứng.</t>
        </is>
      </c>
      <c r="K45" s="4" t="inlineStr"/>
      <c r="L45" s="4" t="inlineStr">
        <is>
          <t>Chưa chạy</t>
        </is>
      </c>
      <c r="M45" s="4" t="inlineStr">
        <is>
          <t>Medium</t>
        </is>
      </c>
      <c r="N45" s="4" t="inlineStr"/>
      <c r="O45" s="4" t="inlineStr"/>
      <c r="P45" s="4" t="inlineStr"/>
    </row>
    <row r="46" ht="72" customHeight="1">
      <c r="A46" s="4" t="inlineStr">
        <is>
          <t>TC-ENROLLMENT-003</t>
        </is>
      </c>
      <c r="B46" s="4" t="inlineStr">
        <is>
          <t>Enrollment</t>
        </is>
      </c>
      <c r="C46" s="4" t="inlineStr">
        <is>
          <t>REQ-ENR-001</t>
        </is>
      </c>
      <c r="D46" s="4" t="inlineStr">
        <is>
          <t>Lọc ghi danh theo lớp</t>
        </is>
      </c>
      <c r="E46" s="4" t="inlineStr">
        <is>
          <t>P1</t>
        </is>
      </c>
      <c r="F46" s="4" t="inlineStr">
        <is>
          <t>Functional</t>
        </is>
      </c>
      <c r="G46" s="4" t="inlineStr">
        <is>
          <t>Đã đăng nhập bằng admin/admin@123.</t>
        </is>
      </c>
      <c r="H46" s="4" t="inlineStr">
        <is>
          <t>classId của GT-K01</t>
        </is>
      </c>
      <c r="I46" s="4" t="inlineStr">
        <is>
          <t>Chọn lớp GT-K01 và lọc</t>
        </is>
      </c>
      <c r="J46" s="4" t="inlineStr">
        <is>
          <t>Chỉ hiển thị ghi danh thuộc GT-K01.</t>
        </is>
      </c>
      <c r="K46" s="4" t="inlineStr"/>
      <c r="L46" s="4" t="inlineStr">
        <is>
          <t>Chưa chạy</t>
        </is>
      </c>
      <c r="M46" s="4" t="inlineStr">
        <is>
          <t>Medium</t>
        </is>
      </c>
      <c r="N46" s="4" t="inlineStr"/>
      <c r="O46" s="4" t="inlineStr"/>
      <c r="P46" s="4" t="inlineStr"/>
    </row>
    <row r="47" ht="72" customHeight="1">
      <c r="A47" s="4" t="inlineStr">
        <is>
          <t>TC-ENROLLMENT-004</t>
        </is>
      </c>
      <c r="B47" s="4" t="inlineStr">
        <is>
          <t>Enrollment</t>
        </is>
      </c>
      <c r="C47" s="4" t="inlineStr">
        <is>
          <t>REQ-ENR-001</t>
        </is>
      </c>
      <c r="D47" s="4" t="inlineStr">
        <is>
          <t>Lọc ghi danh theo trạng thái học phí</t>
        </is>
      </c>
      <c r="E47" s="4" t="inlineStr">
        <is>
          <t>P1</t>
        </is>
      </c>
      <c r="F47" s="4" t="inlineStr">
        <is>
          <t>Functional</t>
        </is>
      </c>
      <c r="G47" s="4" t="inlineStr">
        <is>
          <t>Đã đăng nhập bằng admin/admin@123.</t>
        </is>
      </c>
      <c r="H47" s="4" t="inlineStr">
        <is>
          <t>DaNopDu và ConNo</t>
        </is>
      </c>
      <c r="I47" s="4" t="inlineStr">
        <is>
          <t>Lọc lần lượt theo hai trạng thái</t>
        </is>
      </c>
      <c r="J47" s="4" t="inlineStr">
        <is>
          <t>Mỗi lần chỉ hiển thị bản ghi có PaymentStatus tương ứng.</t>
        </is>
      </c>
      <c r="K47" s="4" t="inlineStr"/>
      <c r="L47" s="4" t="inlineStr">
        <is>
          <t>Chưa chạy</t>
        </is>
      </c>
      <c r="M47" s="4" t="inlineStr">
        <is>
          <t>Medium</t>
        </is>
      </c>
      <c r="N47" s="4" t="inlineStr"/>
      <c r="O47" s="4" t="inlineStr"/>
      <c r="P47" s="4" t="inlineStr"/>
    </row>
    <row r="48" ht="72" customHeight="1">
      <c r="A48" s="4" t="inlineStr">
        <is>
          <t>TC-ENROLLMENT-005</t>
        </is>
      </c>
      <c r="B48" s="4" t="inlineStr">
        <is>
          <t>Enrollment</t>
        </is>
      </c>
      <c r="C48" s="4" t="inlineStr">
        <is>
          <t>REQ-ENR-001</t>
        </is>
      </c>
      <c r="D48" s="4" t="inlineStr">
        <is>
          <t>Kết hợp search, lớp và trạng thái học phí</t>
        </is>
      </c>
      <c r="E48" s="4" t="inlineStr">
        <is>
          <t>P2</t>
        </is>
      </c>
      <c r="F48" s="4" t="inlineStr">
        <is>
          <t>Functional</t>
        </is>
      </c>
      <c r="G48" s="4" t="inlineStr">
        <is>
          <t>Đã đăng nhập bằng admin/admin@123.</t>
        </is>
      </c>
      <c r="H48" s="4" t="inlineStr">
        <is>
          <t>SV2026001 + GT-K01 + DaNopDu</t>
        </is>
      </c>
      <c r="I48" s="4" t="inlineStr">
        <is>
          <t>Áp dụng đồng thời ba điều kiện</t>
        </is>
      </c>
      <c r="J48" s="4" t="inlineStr">
        <is>
          <t>Kết quả thỏa tất cả điều kiện và filter giữ nguyên giá trị.</t>
        </is>
      </c>
      <c r="K48" s="4" t="inlineStr"/>
      <c r="L48" s="4" t="inlineStr">
        <is>
          <t>Chưa chạy</t>
        </is>
      </c>
      <c r="M48" s="4" t="inlineStr">
        <is>
          <t>Medium</t>
        </is>
      </c>
      <c r="N48" s="4" t="inlineStr"/>
      <c r="O48" s="4" t="inlineStr"/>
      <c r="P48" s="4" t="inlineStr"/>
    </row>
    <row r="49" ht="72" customHeight="1">
      <c r="A49" s="4" t="inlineStr">
        <is>
          <t>TC-ENROLLMENT-006</t>
        </is>
      </c>
      <c r="B49" s="4" t="inlineStr">
        <is>
          <t>Enrollment</t>
        </is>
      </c>
      <c r="C49" s="4" t="inlineStr">
        <is>
          <t>REQ-ENR-001</t>
        </is>
      </c>
      <c r="D49" s="4" t="inlineStr">
        <is>
          <t>Phân trang ghi danh 5 bản ghi</t>
        </is>
      </c>
      <c r="E49" s="4" t="inlineStr">
        <is>
          <t>P2</t>
        </is>
      </c>
      <c r="F49" s="4" t="inlineStr">
        <is>
          <t>Regression</t>
        </is>
      </c>
      <c r="G49" s="4" t="inlineStr">
        <is>
          <t>Có ít nhất 7 ghi danh phù hợp bộ lọc.</t>
        </is>
      </c>
      <c r="H49" s="4" t="inlineStr">
        <is>
          <t>page=1 và page=2</t>
        </is>
      </c>
      <c r="I49" s="4" t="inlineStr">
        <is>
          <t>Chuyển trang khi đang áp dụng bộ lọc</t>
        </is>
      </c>
      <c r="J49" s="4" t="inlineStr">
        <is>
          <t>Tối đa 5 bản ghi/trang; không trùng/mất và tham số lọc được giữ.</t>
        </is>
      </c>
      <c r="K49" s="4" t="inlineStr"/>
      <c r="L49" s="4" t="inlineStr">
        <is>
          <t>Chưa chạy</t>
        </is>
      </c>
      <c r="M49" s="4" t="inlineStr">
        <is>
          <t>Medium</t>
        </is>
      </c>
      <c r="N49" s="4" t="inlineStr"/>
      <c r="O49" s="4" t="inlineStr"/>
      <c r="P49" s="4" t="inlineStr"/>
    </row>
    <row r="50" ht="72" customHeight="1">
      <c r="A50" s="4" t="inlineStr">
        <is>
          <t>TC-ENROLLMENT-007</t>
        </is>
      </c>
      <c r="B50" s="4" t="inlineStr">
        <is>
          <t>Enrollment</t>
        </is>
      </c>
      <c r="C50" s="4" t="inlineStr">
        <is>
          <t>REQ-ENR-002</t>
        </is>
      </c>
      <c r="D50" s="4" t="inlineStr">
        <is>
          <t>Xem chi tiết ghi danh cùng dữ liệu liên kết</t>
        </is>
      </c>
      <c r="E50" s="4" t="inlineStr">
        <is>
          <t>P1</t>
        </is>
      </c>
      <c r="F50" s="4" t="inlineStr">
        <is>
          <t>Functional</t>
        </is>
      </c>
      <c r="G50" s="4" t="inlineStr">
        <is>
          <t>Đã đăng nhập Admin; có dữ liệu seed và dữ liệu QA cần thiết.</t>
        </is>
      </c>
      <c r="H50" s="4" t="inlineStr">
        <is>
          <t>Ghi danh Nguyễn Văn An - GT-K01</t>
        </is>
      </c>
      <c r="I50" s="4" t="inlineStr">
        <is>
          <t>Mở Details của ghi danh</t>
        </is>
      </c>
      <c r="J50" s="4" t="inlineStr">
        <is>
          <t>Hiển thị đúng student, class/course, học phí, các bản ghi điểm danh và điểm số.</t>
        </is>
      </c>
      <c r="K50" s="4" t="inlineStr"/>
      <c r="L50" s="4" t="inlineStr">
        <is>
          <t>Chưa chạy</t>
        </is>
      </c>
      <c r="M50" s="4" t="inlineStr">
        <is>
          <t>High</t>
        </is>
      </c>
      <c r="N50" s="4" t="inlineStr"/>
      <c r="O50" s="4" t="inlineStr"/>
      <c r="P50" s="4" t="inlineStr"/>
    </row>
    <row r="51" ht="72" customHeight="1">
      <c r="A51" s="4" t="inlineStr">
        <is>
          <t>TC-ENROLLMENT-008</t>
        </is>
      </c>
      <c r="B51" s="4" t="inlineStr">
        <is>
          <t>Enrollment</t>
        </is>
      </c>
      <c r="C51" s="4" t="inlineStr">
        <is>
          <t>REQ-ENR-003</t>
        </is>
      </c>
      <c r="D51" s="4" t="inlineStr">
        <is>
          <t>Tạo ghi danh hợp lệ với giá trị mặc định</t>
        </is>
      </c>
      <c r="E51" s="4" t="inlineStr">
        <is>
          <t>P0</t>
        </is>
      </c>
      <c r="F51" s="4" t="inlineStr">
        <is>
          <t>Smoke</t>
        </is>
      </c>
      <c r="G51" s="4" t="inlineStr">
        <is>
          <t>Có học viên và lớp còn chỗ, chưa ghi danh cặp này.</t>
        </is>
      </c>
      <c r="H51" s="4" t="inlineStr">
        <is>
          <t>Student QA; Class QA</t>
        </is>
      </c>
      <c r="I51" s="4" t="inlineStr">
        <is>
          <t>1. Mở Create
2. Chọn học viên/lớp
3. Lưu</t>
        </is>
      </c>
      <c r="J51" s="4" t="inlineStr">
        <is>
          <t>Tạo thành công; mặc định PaidAmount=0, PaymentStatus=ConNo, LearningStatus=DangHoc.</t>
        </is>
      </c>
      <c r="K51" s="4" t="inlineStr"/>
      <c r="L51" s="4" t="inlineStr">
        <is>
          <t>Chưa chạy</t>
        </is>
      </c>
      <c r="M51" s="4" t="inlineStr">
        <is>
          <t>Critical</t>
        </is>
      </c>
      <c r="N51" s="4" t="inlineStr"/>
      <c r="O51" s="4" t="inlineStr"/>
      <c r="P51" s="4" t="inlineStr"/>
    </row>
    <row r="52" ht="72" customHeight="1">
      <c r="A52" s="4" t="inlineStr">
        <is>
          <t>TC-ENROLLMENT-009</t>
        </is>
      </c>
      <c r="B52" s="4" t="inlineStr">
        <is>
          <t>Enrollment</t>
        </is>
      </c>
      <c r="C52" s="4" t="inlineStr">
        <is>
          <t>REQ-ENR-004</t>
        </is>
      </c>
      <c r="D52" s="4" t="inlineStr">
        <is>
          <t>Tự điền học phí chuẩn khi chọn lớp</t>
        </is>
      </c>
      <c r="E52" s="4" t="inlineStr">
        <is>
          <t>P1</t>
        </is>
      </c>
      <c r="F52" s="4" t="inlineStr">
        <is>
          <t>Functional</t>
        </is>
      </c>
      <c r="G52" s="4" t="inlineStr">
        <is>
          <t>Đã đăng nhập bằng admin/admin@123.</t>
        </is>
      </c>
      <c r="H52" s="4" t="inlineStr">
        <is>
          <t>GT-K01 có BaseTuitionFee=3500000</t>
        </is>
      </c>
      <c r="I52" s="4" t="inlineStr">
        <is>
          <t>1. Mở Create
2. Chọn GT-K01
3. Quan sát ActualFee</t>
        </is>
      </c>
      <c r="J52" s="4" t="inlineStr">
        <is>
          <t>API trả success=true, fee=3500000 và form điền đúng học phí.</t>
        </is>
      </c>
      <c r="K52" s="4" t="inlineStr"/>
      <c r="L52" s="4" t="inlineStr">
        <is>
          <t>Chưa chạy</t>
        </is>
      </c>
      <c r="M52" s="4" t="inlineStr">
        <is>
          <t>High</t>
        </is>
      </c>
      <c r="N52" s="4" t="inlineStr"/>
      <c r="O52" s="4" t="inlineStr"/>
      <c r="P52" s="4" t="inlineStr"/>
    </row>
    <row r="53" ht="72" customHeight="1">
      <c r="A53" s="4" t="inlineStr">
        <is>
          <t>TC-ENROLLMENT-010</t>
        </is>
      </c>
      <c r="B53" s="4" t="inlineStr">
        <is>
          <t>Enrollment</t>
        </is>
      </c>
      <c r="C53" s="4" t="inlineStr">
        <is>
          <t>REQ-ENR-005</t>
        </is>
      </c>
      <c r="D53" s="4" t="inlineStr">
        <is>
          <t>Chặn ghi danh trùng học viên trong cùng lớp</t>
        </is>
      </c>
      <c r="E53" s="4" t="inlineStr">
        <is>
          <t>P0</t>
        </is>
      </c>
      <c r="F53" s="4" t="inlineStr">
        <is>
          <t>Negative</t>
        </is>
      </c>
      <c r="G53" s="4" t="inlineStr">
        <is>
          <t>Đã đăng nhập Admin; có dữ liệu seed và dữ liệu QA cần thiết.</t>
        </is>
      </c>
      <c r="H53" s="4" t="inlineStr">
        <is>
          <t>SV2026001 + GT-K01</t>
        </is>
      </c>
      <c r="I53" s="4" t="inlineStr">
        <is>
          <t>Tạo lại cặp học viên/lớp đã có</t>
        </is>
      </c>
      <c r="J53" s="4" t="inlineStr">
        <is>
          <t>Không tạo; hiển thị thông báo học viên đã được ghi danh vào lớp.</t>
        </is>
      </c>
      <c r="K53" s="4" t="inlineStr"/>
      <c r="L53" s="4" t="inlineStr">
        <is>
          <t>Chưa chạy</t>
        </is>
      </c>
      <c r="M53" s="4" t="inlineStr">
        <is>
          <t>Critical</t>
        </is>
      </c>
      <c r="N53" s="4" t="inlineStr"/>
      <c r="O53" s="4" t="inlineStr"/>
      <c r="P53" s="4" t="inlineStr"/>
    </row>
    <row r="54" ht="72" customHeight="1">
      <c r="A54" s="4" t="inlineStr">
        <is>
          <t>TC-ENROLLMENT-011</t>
        </is>
      </c>
      <c r="B54" s="4" t="inlineStr">
        <is>
          <t>Enrollment</t>
        </is>
      </c>
      <c r="C54" s="4" t="inlineStr">
        <is>
          <t>REQ-ENR-006</t>
        </is>
      </c>
      <c r="D54" s="4" t="inlineStr">
        <is>
          <t>Chặn ghi danh khi lớp đủ sĩ số</t>
        </is>
      </c>
      <c r="E54" s="4" t="inlineStr">
        <is>
          <t>P0</t>
        </is>
      </c>
      <c r="F54" s="4" t="inlineStr">
        <is>
          <t>Boundary</t>
        </is>
      </c>
      <c r="G54" s="4" t="inlineStr">
        <is>
          <t>Lớp QA có MaxCapacity bằng đúng số ghi danh hiện tại.</t>
        </is>
      </c>
      <c r="H54" s="4" t="inlineStr">
        <is>
          <t>Thêm một học viên mới</t>
        </is>
      </c>
      <c r="I54" s="4" t="inlineStr">
        <is>
          <t>Submit ghi danh mới</t>
        </is>
      </c>
      <c r="J54" s="4" t="inlineStr">
        <is>
          <t>Không tạo; hiển thị lớp đã đủ sĩ số tối đa.</t>
        </is>
      </c>
      <c r="K54" s="4" t="inlineStr"/>
      <c r="L54" s="4" t="inlineStr">
        <is>
          <t>Chưa chạy</t>
        </is>
      </c>
      <c r="M54" s="4" t="inlineStr">
        <is>
          <t>Critical</t>
        </is>
      </c>
      <c r="N54" s="4" t="inlineStr"/>
      <c r="O54" s="4" t="inlineStr"/>
      <c r="P54" s="4" t="inlineStr"/>
    </row>
    <row r="55" ht="72" customHeight="1">
      <c r="A55" s="4" t="inlineStr">
        <is>
          <t>TC-ENROLLMENT-012</t>
        </is>
      </c>
      <c r="B55" s="4" t="inlineStr">
        <is>
          <t>Enrollment</t>
        </is>
      </c>
      <c r="C55" s="4" t="inlineStr">
        <is>
          <t>REQ-ENR-007</t>
        </is>
      </c>
      <c r="D55" s="4" t="inlineStr">
        <is>
          <t>Tự chuyển DaNopDu khi đã nộp đủ hoặc dư</t>
        </is>
      </c>
      <c r="E55" s="4" t="inlineStr">
        <is>
          <t>P0</t>
        </is>
      </c>
      <c r="F55" s="4" t="inlineStr">
        <is>
          <t>Business Rule</t>
        </is>
      </c>
      <c r="G55" s="4" t="inlineStr">
        <is>
          <t>Cặp student/class chưa tồn tại và lớp còn chỗ.</t>
        </is>
      </c>
      <c r="H55" s="4" t="inlineStr">
        <is>
          <t>ActualFee=3500000; PaidAmount=3500000 rồi 4000000</t>
        </is>
      </c>
      <c r="I55" s="4" t="inlineStr">
        <is>
          <t>Tạo hai ghi danh test độc lập</t>
        </is>
      </c>
      <c r="J55" s="4" t="inlineStr">
        <is>
          <t>Cả hai bản ghi có PaymentStatus=DaNopDu.</t>
        </is>
      </c>
      <c r="K55" s="4" t="inlineStr"/>
      <c r="L55" s="4" t="inlineStr">
        <is>
          <t>Chưa chạy</t>
        </is>
      </c>
      <c r="M55" s="4" t="inlineStr">
        <is>
          <t>Critical</t>
        </is>
      </c>
      <c r="N55" s="4" t="inlineStr"/>
      <c r="O55" s="4" t="inlineStr"/>
      <c r="P55" s="4" t="inlineStr"/>
    </row>
    <row r="56" ht="72" customHeight="1">
      <c r="A56" s="4" t="inlineStr">
        <is>
          <t>TC-ENROLLMENT-013</t>
        </is>
      </c>
      <c r="B56" s="4" t="inlineStr">
        <is>
          <t>Enrollment</t>
        </is>
      </c>
      <c r="C56" s="4" t="inlineStr">
        <is>
          <t>REQ-ENR-007</t>
        </is>
      </c>
      <c r="D56" s="4" t="inlineStr">
        <is>
          <t>Tự chuyển ConNo khi nộp thiếu</t>
        </is>
      </c>
      <c r="E56" s="4" t="inlineStr">
        <is>
          <t>P0</t>
        </is>
      </c>
      <c r="F56" s="4" t="inlineStr">
        <is>
          <t>Business Rule</t>
        </is>
      </c>
      <c r="G56" s="4" t="inlineStr">
        <is>
          <t>Cặp student/class chưa tồn tại và lớp còn chỗ.</t>
        </is>
      </c>
      <c r="H56" s="4" t="inlineStr">
        <is>
          <t>ActualFee=3500000; PaidAmount=3499999</t>
        </is>
      </c>
      <c r="I56" s="4" t="inlineStr">
        <is>
          <t>Tạo ghi danh</t>
        </is>
      </c>
      <c r="J56" s="4" t="inlineStr">
        <is>
          <t>Bản ghi có PaymentStatus=ConNo, bất kể giá trị PaymentStatus gửi từ client.</t>
        </is>
      </c>
      <c r="K56" s="4" t="inlineStr"/>
      <c r="L56" s="4" t="inlineStr">
        <is>
          <t>Chưa chạy</t>
        </is>
      </c>
      <c r="M56" s="4" t="inlineStr">
        <is>
          <t>Critical</t>
        </is>
      </c>
      <c r="N56" s="4" t="inlineStr"/>
      <c r="O56" s="4" t="inlineStr"/>
      <c r="P56" s="4" t="inlineStr"/>
    </row>
    <row r="57" ht="72" customHeight="1">
      <c r="A57" s="4" t="inlineStr">
        <is>
          <t>TC-ENROLLMENT-014</t>
        </is>
      </c>
      <c r="B57" s="4" t="inlineStr">
        <is>
          <t>Enrollment</t>
        </is>
      </c>
      <c r="C57" s="4" t="inlineStr">
        <is>
          <t>REQ-ENR-007</t>
        </is>
      </c>
      <c r="D57" s="4" t="inlineStr">
        <is>
          <t>ActualFee bằng 0 vẫn là ConNo</t>
        </is>
      </c>
      <c r="E57" s="4" t="inlineStr">
        <is>
          <t>P1</t>
        </is>
      </c>
      <c r="F57" s="4" t="inlineStr">
        <is>
          <t>Boundary</t>
        </is>
      </c>
      <c r="G57" s="4" t="inlineStr">
        <is>
          <t>Cặp student/class chưa tồn tại.</t>
        </is>
      </c>
      <c r="H57" s="4" t="inlineStr">
        <is>
          <t>ActualFee=0; PaidAmount=0 hoặc 1000</t>
        </is>
      </c>
      <c r="I57" s="4" t="inlineStr">
        <is>
          <t>Tạo ghi danh cho từng bộ dữ liệu</t>
        </is>
      </c>
      <c r="J57" s="4" t="inlineStr">
        <is>
          <t>PaymentStatus=ConNo vì ActualFee không lớn hơn 0.</t>
        </is>
      </c>
      <c r="K57" s="4" t="inlineStr"/>
      <c r="L57" s="4" t="inlineStr">
        <is>
          <t>Chưa chạy</t>
        </is>
      </c>
      <c r="M57" s="4" t="inlineStr">
        <is>
          <t>High</t>
        </is>
      </c>
      <c r="N57" s="4" t="inlineStr"/>
      <c r="O57" s="4" t="inlineStr"/>
      <c r="P57" s="4" t="inlineStr"/>
    </row>
    <row r="58" ht="72" customHeight="1">
      <c r="A58" s="4" t="inlineStr">
        <is>
          <t>TC-ENROLLMENT-015</t>
        </is>
      </c>
      <c r="B58" s="4" t="inlineStr">
        <is>
          <t>Enrollment</t>
        </is>
      </c>
      <c r="C58" s="4" t="inlineStr">
        <is>
          <t>REQ-ENR-008</t>
        </is>
      </c>
      <c r="D58" s="4" t="inlineStr">
        <is>
          <t>Biên học phí thực tế và số tiền đã nộp</t>
        </is>
      </c>
      <c r="E58" s="4" t="inlineStr">
        <is>
          <t>P0</t>
        </is>
      </c>
      <c r="F58" s="4" t="inlineStr">
        <is>
          <t>Boundary</t>
        </is>
      </c>
      <c r="G58" s="4" t="inlineStr">
        <is>
          <t>Có dữ liệu tạo ghi danh hợp lệ khác.</t>
        </is>
      </c>
      <c r="H58" s="4" t="inlineStr">
        <is>
          <t>-1; 0; 100000000; 100000001 cho mỗi trường</t>
        </is>
      </c>
      <c r="I58" s="4" t="inlineStr">
        <is>
          <t>Submit lần lượt các giá trị tại/vượt biên</t>
        </is>
      </c>
      <c r="J58" s="4" t="inlineStr">
        <is>
          <t>0 và 100.000.000 hợp lệ; số âm và trên 100.000.000 bị từ chối.</t>
        </is>
      </c>
      <c r="K58" s="4" t="inlineStr"/>
      <c r="L58" s="4" t="inlineStr">
        <is>
          <t>Chưa chạy</t>
        </is>
      </c>
      <c r="M58" s="4" t="inlineStr">
        <is>
          <t>High</t>
        </is>
      </c>
      <c r="N58" s="4" t="inlineStr"/>
      <c r="O58" s="4" t="inlineStr"/>
      <c r="P58" s="4" t="inlineStr"/>
    </row>
    <row r="59" ht="72" customHeight="1">
      <c r="A59" s="4" t="inlineStr">
        <is>
          <t>TC-ENROLLMENT-016</t>
        </is>
      </c>
      <c r="B59" s="4" t="inlineStr">
        <is>
          <t>Enrollment</t>
        </is>
      </c>
      <c r="C59" s="4" t="inlineStr">
        <is>
          <t>REQ-ENR-009</t>
        </is>
      </c>
      <c r="D59" s="4" t="inlineStr">
        <is>
          <t>Cập nhật ghi danh, trạng thái học và học phí</t>
        </is>
      </c>
      <c r="E59" s="4" t="inlineStr">
        <is>
          <t>P1</t>
        </is>
      </c>
      <c r="F59" s="4" t="inlineStr">
        <is>
          <t>Regression</t>
        </is>
      </c>
      <c r="G59" s="4" t="inlineStr">
        <is>
          <t>Có ghi danh QA chưa có attendance/grade.</t>
        </is>
      </c>
      <c r="H59" s="4" t="inlineStr">
        <is>
          <t>LearningStatus=BaoLuu; tăng PaidAmount đến đủ</t>
        </is>
      </c>
      <c r="I59" s="4" t="inlineStr">
        <is>
          <t>1. Mở Edit
2. Đổi trạng thái và tiền đã nộp
3. Lưu</t>
        </is>
      </c>
      <c r="J59" s="4" t="inlineStr">
        <is>
          <t>Thông tin cập nhật; LearningStatus=BaoLuu và PaymentStatus tự đổi thành DaNopDu.</t>
        </is>
      </c>
      <c r="K59" s="4" t="inlineStr"/>
      <c r="L59" s="4" t="inlineStr">
        <is>
          <t>Chưa chạy</t>
        </is>
      </c>
      <c r="M59" s="4" t="inlineStr">
        <is>
          <t>High</t>
        </is>
      </c>
      <c r="N59" s="4" t="inlineStr"/>
      <c r="O59" s="4" t="inlineStr"/>
      <c r="P59" s="4" t="inlineStr"/>
    </row>
    <row r="60" ht="72" customHeight="1">
      <c r="A60" s="4" t="inlineStr">
        <is>
          <t>TC-ENROLLMENT-017</t>
        </is>
      </c>
      <c r="B60" s="4" t="inlineStr">
        <is>
          <t>Enrollment</t>
        </is>
      </c>
      <c r="C60" s="4" t="inlineStr">
        <is>
          <t>REQ-ENR-010</t>
        </is>
      </c>
      <c r="D60" s="4" t="inlineStr">
        <is>
          <t>Xóa ghi danh chưa có điểm danh/điểm</t>
        </is>
      </c>
      <c r="E60" s="4" t="inlineStr">
        <is>
          <t>P0</t>
        </is>
      </c>
      <c r="F60" s="4" t="inlineStr">
        <is>
          <t>Functional</t>
        </is>
      </c>
      <c r="G60" s="4" t="inlineStr">
        <is>
          <t>Có ghi danh QA không có Attendance/Grade.</t>
        </is>
      </c>
      <c r="H60" s="4" t="inlineStr">
        <is>
          <t>Enrollment QA</t>
        </is>
      </c>
      <c r="I60" s="4" t="inlineStr">
        <is>
          <t>1. Mở Delete
2. Xác nhận</t>
        </is>
      </c>
      <c r="J60" s="4" t="inlineStr">
        <is>
          <t>Xóa thành công; sĩ số lớp giảm một và bản ghi biến mất.</t>
        </is>
      </c>
      <c r="K60" s="4" t="inlineStr"/>
      <c r="L60" s="4" t="inlineStr">
        <is>
          <t>Chưa chạy</t>
        </is>
      </c>
      <c r="M60" s="4" t="inlineStr">
        <is>
          <t>Critical</t>
        </is>
      </c>
      <c r="N60" s="4" t="inlineStr"/>
      <c r="O60" s="4" t="inlineStr"/>
      <c r="P60" s="4" t="inlineStr"/>
    </row>
    <row r="61" ht="72" customHeight="1">
      <c r="A61" s="4" t="inlineStr">
        <is>
          <t>TC-ENROLLMENT-018</t>
        </is>
      </c>
      <c r="B61" s="4" t="inlineStr">
        <is>
          <t>Enrollment</t>
        </is>
      </c>
      <c r="C61" s="4" t="inlineStr">
        <is>
          <t>REQ-ENR-010</t>
        </is>
      </c>
      <c r="D61" s="4" t="inlineStr">
        <is>
          <t>Chặn xóa ghi danh có điểm danh hoặc điểm</t>
        </is>
      </c>
      <c r="E61" s="4" t="inlineStr">
        <is>
          <t>P0</t>
        </is>
      </c>
      <c r="F61" s="4" t="inlineStr">
        <is>
          <t>Negative</t>
        </is>
      </c>
      <c r="G61" s="4" t="inlineStr">
        <is>
          <t>Đã đăng nhập Admin; có dữ liệu seed và dữ liệu QA cần thiết.</t>
        </is>
      </c>
      <c r="H61" s="4" t="inlineStr">
        <is>
          <t>Enrollment có Attendance; Enrollment có Grade</t>
        </is>
      </c>
      <c r="I61" s="4" t="inlineStr">
        <is>
          <t>Thử xóa từng ghi danh có dữ liệu liên kết</t>
        </is>
      </c>
      <c r="J61" s="4" t="inlineStr">
        <is>
          <t>Không xóa cả hai; hiển thị thông báo đã có điểm danh hoặc bảng điểm; dữ liệu con còn nguyên.</t>
        </is>
      </c>
      <c r="K61" s="4" t="inlineStr"/>
      <c r="L61" s="4" t="inlineStr">
        <is>
          <t>Chưa chạy</t>
        </is>
      </c>
      <c r="M61" s="4" t="inlineStr">
        <is>
          <t>Critical</t>
        </is>
      </c>
      <c r="N61" s="4" t="inlineStr"/>
      <c r="O61" s="4" t="inlineStr"/>
      <c r="P61" s="4" t="inlineStr"/>
    </row>
    <row r="62" ht="72" customHeight="1">
      <c r="A62" s="4" t="inlineStr">
        <is>
          <t>TC-ATTENDANCE-001</t>
        </is>
      </c>
      <c r="B62" s="4" t="inlineStr">
        <is>
          <t>Attendance</t>
        </is>
      </c>
      <c r="C62" s="4" t="inlineStr">
        <is>
          <t>REQ-ATT-001</t>
        </is>
      </c>
      <c r="D62" s="4" t="inlineStr">
        <is>
          <t>Hiển thị danh sách điểm danh theo ngày và buổi mới nhất</t>
        </is>
      </c>
      <c r="E62" s="4" t="inlineStr">
        <is>
          <t>P1</t>
        </is>
      </c>
      <c r="F62" s="4" t="inlineStr">
        <is>
          <t>Smoke</t>
        </is>
      </c>
      <c r="G62" s="4" t="inlineStr">
        <is>
          <t>Đã đăng nhập bằng admin/admin@123.</t>
        </is>
      </c>
      <c r="H62" s="4" t="inlineStr">
        <is>
          <t>Dữ liệu seed</t>
        </is>
      </c>
      <c r="I62" s="4" t="inlineStr">
        <is>
          <t>Mở /Attendance và đối chiếu thứ tự</t>
        </is>
      </c>
      <c r="J62" s="4" t="inlineStr">
        <is>
          <t>Danh sách đúng dữ liệu; ngày mới hơn trước, cùng ngày thì buổi lớn hơn trước.</t>
        </is>
      </c>
      <c r="K62" s="4" t="inlineStr"/>
      <c r="L62" s="4" t="inlineStr">
        <is>
          <t>Chưa chạy</t>
        </is>
      </c>
      <c r="M62" s="4" t="inlineStr">
        <is>
          <t>High</t>
        </is>
      </c>
      <c r="N62" s="4" t="inlineStr"/>
      <c r="O62" s="4" t="inlineStr"/>
      <c r="P62" s="4" t="inlineStr"/>
    </row>
    <row r="63" ht="72" customHeight="1">
      <c r="A63" s="4" t="inlineStr">
        <is>
          <t>TC-ATTENDANCE-002</t>
        </is>
      </c>
      <c r="B63" s="4" t="inlineStr">
        <is>
          <t>Attendance</t>
        </is>
      </c>
      <c r="C63" s="4" t="inlineStr">
        <is>
          <t>REQ-ATT-001</t>
        </is>
      </c>
      <c r="D63" s="4" t="inlineStr">
        <is>
          <t>Tìm điểm danh theo học viên hoặc mã lớp</t>
        </is>
      </c>
      <c r="E63" s="4" t="inlineStr">
        <is>
          <t>P1</t>
        </is>
      </c>
      <c r="F63" s="4" t="inlineStr">
        <is>
          <t>Functional</t>
        </is>
      </c>
      <c r="G63" s="4" t="inlineStr">
        <is>
          <t>Đã đăng nhập bằng admin/admin@123.</t>
        </is>
      </c>
      <c r="H63" s="4" t="inlineStr">
        <is>
          <t>Nguyễn Văn An; SV2026001; GT-K01</t>
        </is>
      </c>
      <c r="I63" s="4" t="inlineStr">
        <is>
          <t>Tìm lần lượt theo ba từ khóa</t>
        </is>
      </c>
      <c r="J63" s="4" t="inlineStr">
        <is>
          <t>Kết quả phù hợp FullName, StudentCode hoặc ClassCode.</t>
        </is>
      </c>
      <c r="K63" s="4" t="inlineStr"/>
      <c r="L63" s="4" t="inlineStr">
        <is>
          <t>Chưa chạy</t>
        </is>
      </c>
      <c r="M63" s="4" t="inlineStr">
        <is>
          <t>Medium</t>
        </is>
      </c>
      <c r="N63" s="4" t="inlineStr"/>
      <c r="O63" s="4" t="inlineStr"/>
      <c r="P63" s="4" t="inlineStr"/>
    </row>
    <row r="64" ht="72" customHeight="1">
      <c r="A64" s="4" t="inlineStr">
        <is>
          <t>TC-ATTENDANCE-003</t>
        </is>
      </c>
      <c r="B64" s="4" t="inlineStr">
        <is>
          <t>Attendance</t>
        </is>
      </c>
      <c r="C64" s="4" t="inlineStr">
        <is>
          <t>REQ-ATT-001</t>
        </is>
      </c>
      <c r="D64" s="4" t="inlineStr">
        <is>
          <t>Lọc điểm danh theo lớp, buổi và ngày</t>
        </is>
      </c>
      <c r="E64" s="4" t="inlineStr">
        <is>
          <t>P1</t>
        </is>
      </c>
      <c r="F64" s="4" t="inlineStr">
        <is>
          <t>Functional</t>
        </is>
      </c>
      <c r="G64" s="4" t="inlineStr">
        <is>
          <t>Đã đăng nhập bằng admin/admin@123.</t>
        </is>
      </c>
      <c r="H64" s="4" t="inlineStr">
        <is>
          <t>GT-K01; session=1; ngày seed</t>
        </is>
      </c>
      <c r="I64" s="4" t="inlineStr">
        <is>
          <t>Áp dụng từng filter và sau đó kết hợp cả ba</t>
        </is>
      </c>
      <c r="J64" s="4" t="inlineStr">
        <is>
          <t>Kết quả đúng từng điều kiện và giao của các điều kiện khi kết hợp.</t>
        </is>
      </c>
      <c r="K64" s="4" t="inlineStr"/>
      <c r="L64" s="4" t="inlineStr">
        <is>
          <t>Chưa chạy</t>
        </is>
      </c>
      <c r="M64" s="4" t="inlineStr">
        <is>
          <t>Medium</t>
        </is>
      </c>
      <c r="N64" s="4" t="inlineStr"/>
      <c r="O64" s="4" t="inlineStr"/>
      <c r="P64" s="4" t="inlineStr"/>
    </row>
    <row r="65" ht="72" customHeight="1">
      <c r="A65" s="4" t="inlineStr">
        <is>
          <t>TC-ATTENDANCE-004</t>
        </is>
      </c>
      <c r="B65" s="4" t="inlineStr">
        <is>
          <t>Attendance</t>
        </is>
      </c>
      <c r="C65" s="4" t="inlineStr">
        <is>
          <t>REQ-ATT-001</t>
        </is>
      </c>
      <c r="D65" s="4" t="inlineStr">
        <is>
          <t>Phân trang điểm danh 10 bản ghi và giữ bộ lọc</t>
        </is>
      </c>
      <c r="E65" s="4" t="inlineStr">
        <is>
          <t>P2</t>
        </is>
      </c>
      <c r="F65" s="4" t="inlineStr">
        <is>
          <t>Regression</t>
        </is>
      </c>
      <c r="G65" s="4" t="inlineStr">
        <is>
          <t>Có trên 10 bản ghi phù hợp.</t>
        </is>
      </c>
      <c r="H65" s="4" t="inlineStr">
        <is>
          <t>page=2</t>
        </is>
      </c>
      <c r="I65" s="4" t="inlineStr">
        <is>
          <t>Chuyển trang khi có search/filter</t>
        </is>
      </c>
      <c r="J65" s="4" t="inlineStr">
        <is>
          <t>Tối đa 10 bản ghi/trang; tham số search, classId, sessionNumber, date được giữ.</t>
        </is>
      </c>
      <c r="K65" s="4" t="inlineStr"/>
      <c r="L65" s="4" t="inlineStr">
        <is>
          <t>Chưa chạy</t>
        </is>
      </c>
      <c r="M65" s="4" t="inlineStr">
        <is>
          <t>Medium</t>
        </is>
      </c>
      <c r="N65" s="4" t="inlineStr"/>
      <c r="O65" s="4" t="inlineStr"/>
      <c r="P65" s="4" t="inlineStr"/>
    </row>
    <row r="66" ht="72" customHeight="1">
      <c r="A66" s="4" t="inlineStr">
        <is>
          <t>TC-ATTENDANCE-005</t>
        </is>
      </c>
      <c r="B66" s="4" t="inlineStr">
        <is>
          <t>Attendance</t>
        </is>
      </c>
      <c r="C66" s="4" t="inlineStr">
        <is>
          <t>REQ-ATT-002</t>
        </is>
      </c>
      <c r="D66" s="4" t="inlineStr">
        <is>
          <t>Sổ điểm danh chỉ hiển thị học viên DangHoc</t>
        </is>
      </c>
      <c r="E66" s="4" t="inlineStr">
        <is>
          <t>P0</t>
        </is>
      </c>
      <c r="F66" s="4" t="inlineStr">
        <is>
          <t>Business Rule</t>
        </is>
      </c>
      <c r="G66" s="4" t="inlineStr">
        <is>
          <t>Một lớp có ghi danh DangHoc và BaoLuu/DaNghi.</t>
        </is>
      </c>
      <c r="H66" s="4" t="inlineStr">
        <is>
          <t>Chọn lớp test</t>
        </is>
      </c>
      <c r="I66" s="4" t="inlineStr">
        <is>
          <t>Mở TakeAttendance của lớp</t>
        </is>
      </c>
      <c r="J66" s="4" t="inlineStr">
        <is>
          <t>Chỉ học viên DangHoc xuất hiện; các trạng thái khác không xuất hiện.</t>
        </is>
      </c>
      <c r="K66" s="4" t="inlineStr"/>
      <c r="L66" s="4" t="inlineStr">
        <is>
          <t>Chưa chạy</t>
        </is>
      </c>
      <c r="M66" s="4" t="inlineStr">
        <is>
          <t>Critical</t>
        </is>
      </c>
      <c r="N66" s="4" t="inlineStr"/>
      <c r="O66" s="4" t="inlineStr"/>
      <c r="P66" s="4" t="inlineStr"/>
    </row>
    <row r="67" ht="72" customHeight="1">
      <c r="A67" s="4" t="inlineStr">
        <is>
          <t>TC-ATTENDANCE-006</t>
        </is>
      </c>
      <c r="B67" s="4" t="inlineStr">
        <is>
          <t>Attendance</t>
        </is>
      </c>
      <c r="C67" s="4" t="inlineStr">
        <is>
          <t>REQ-ATT-003</t>
        </is>
      </c>
      <c r="D67" s="4" t="inlineStr">
        <is>
          <t>Mặc định học viên mới là có mặt</t>
        </is>
      </c>
      <c r="E67" s="4" t="inlineStr">
        <is>
          <t>P1</t>
        </is>
      </c>
      <c r="F67" s="4" t="inlineStr">
        <is>
          <t>Functional</t>
        </is>
      </c>
      <c r="G67" s="4" t="inlineStr">
        <is>
          <t>Lớp có học viên DangHoc chưa điểm danh buổi được chọn.</t>
        </is>
      </c>
      <c r="H67" s="4" t="inlineStr">
        <is>
          <t>session mới</t>
        </is>
      </c>
      <c r="I67" s="4" t="inlineStr">
        <is>
          <t>Mở TakeAttendance</t>
        </is>
      </c>
      <c r="J67" s="4" t="inlineStr">
        <is>
          <t>Mỗi học viên chưa có dữ liệu được tick IsPresent=true và Note rỗng.</t>
        </is>
      </c>
      <c r="K67" s="4" t="inlineStr"/>
      <c r="L67" s="4" t="inlineStr">
        <is>
          <t>Chưa chạy</t>
        </is>
      </c>
      <c r="M67" s="4" t="inlineStr">
        <is>
          <t>High</t>
        </is>
      </c>
      <c r="N67" s="4" t="inlineStr"/>
      <c r="O67" s="4" t="inlineStr"/>
      <c r="P67" s="4" t="inlineStr"/>
    </row>
    <row r="68" ht="72" customHeight="1">
      <c r="A68" s="4" t="inlineStr">
        <is>
          <t>TC-ATTENDANCE-007</t>
        </is>
      </c>
      <c r="B68" s="4" t="inlineStr">
        <is>
          <t>Attendance</t>
        </is>
      </c>
      <c r="C68" s="4" t="inlineStr">
        <is>
          <t>REQ-ATT-003</t>
        </is>
      </c>
      <c r="D68" s="4" t="inlineStr">
        <is>
          <t>Nạp dữ liệu điểm danh đã tồn tại</t>
        </is>
      </c>
      <c r="E68" s="4" t="inlineStr">
        <is>
          <t>P1</t>
        </is>
      </c>
      <c r="F68" s="4" t="inlineStr">
        <is>
          <t>Regression</t>
        </is>
      </c>
      <c r="G68" s="4" t="inlineStr">
        <is>
          <t>Đã đăng nhập Admin; có dữ liệu seed và dữ liệu QA cần thiết.</t>
        </is>
      </c>
      <c r="H68" s="4" t="inlineStr">
        <is>
          <t>GT-K01; session=1</t>
        </is>
      </c>
      <c r="I68" s="4" t="inlineStr">
        <is>
          <t>Mở TakeAttendance cho lớp và buổi đã điểm danh</t>
        </is>
      </c>
      <c r="J68" s="4" t="inlineStr">
        <is>
          <t>Hiển thị đúng IsPresent, Note, AttendanceDate và giữ AttendanceId để cập nhật.</t>
        </is>
      </c>
      <c r="K68" s="4" t="inlineStr"/>
      <c r="L68" s="4" t="inlineStr">
        <is>
          <t>Chưa chạy</t>
        </is>
      </c>
      <c r="M68" s="4" t="inlineStr">
        <is>
          <t>High</t>
        </is>
      </c>
      <c r="N68" s="4" t="inlineStr"/>
      <c r="O68" s="4" t="inlineStr"/>
      <c r="P68" s="4" t="inlineStr"/>
    </row>
    <row r="69" ht="72" customHeight="1">
      <c r="A69" s="4" t="inlineStr">
        <is>
          <t>TC-ATTENDANCE-008</t>
        </is>
      </c>
      <c r="B69" s="4" t="inlineStr">
        <is>
          <t>Attendance</t>
        </is>
      </c>
      <c r="C69" s="4" t="inlineStr">
        <is>
          <t>REQ-ATT-003</t>
        </is>
      </c>
      <c r="D69" s="4" t="inlineStr">
        <is>
          <t>Lưu điểm danh mới cho cả lớp</t>
        </is>
      </c>
      <c r="E69" s="4" t="inlineStr">
        <is>
          <t>P0</t>
        </is>
      </c>
      <c r="F69" s="4" t="inlineStr">
        <is>
          <t>Smoke</t>
        </is>
      </c>
      <c r="G69" s="4" t="inlineStr">
        <is>
          <t>Lớp có học viên DangHoc và buổi chưa được lưu.</t>
        </is>
      </c>
      <c r="H69" s="4" t="inlineStr">
        <is>
          <t>session=3; hôm nay; một có mặt, một vắng</t>
        </is>
      </c>
      <c r="I69" s="4" t="inlineStr">
        <is>
          <t>1. Chọn lớp/buổi/ngày
2. Chỉnh trạng thái và note
3. Lưu</t>
        </is>
      </c>
      <c r="J69" s="4" t="inlineStr">
        <is>
          <t>Mỗi học viên có một bản ghi mới đúng dữ liệu; thông báo lưu thành công.</t>
        </is>
      </c>
      <c r="K69" s="4" t="inlineStr"/>
      <c r="L69" s="4" t="inlineStr">
        <is>
          <t>Chưa chạy</t>
        </is>
      </c>
      <c r="M69" s="4" t="inlineStr">
        <is>
          <t>Critical</t>
        </is>
      </c>
      <c r="N69" s="4" t="inlineStr"/>
      <c r="O69" s="4" t="inlineStr"/>
      <c r="P69" s="4" t="inlineStr"/>
    </row>
    <row r="70" ht="72" customHeight="1">
      <c r="A70" s="4" t="inlineStr">
        <is>
          <t>TC-ATTENDANCE-009</t>
        </is>
      </c>
      <c r="B70" s="4" t="inlineStr">
        <is>
          <t>Attendance</t>
        </is>
      </c>
      <c r="C70" s="4" t="inlineStr">
        <is>
          <t>REQ-ATT-003</t>
        </is>
      </c>
      <c r="D70" s="4" t="inlineStr">
        <is>
          <t>Cập nhật điểm danh đã có không tạo bản ghi trùng</t>
        </is>
      </c>
      <c r="E70" s="4" t="inlineStr">
        <is>
          <t>P0</t>
        </is>
      </c>
      <c r="F70" s="4" t="inlineStr">
        <is>
          <t>Regression</t>
        </is>
      </c>
      <c r="G70" s="4" t="inlineStr">
        <is>
          <t>Buổi điểm danh đã tồn tại.</t>
        </is>
      </c>
      <c r="H70" s="4" t="inlineStr">
        <is>
          <t>Đổi vắng thành có mặt và sửa note</t>
        </is>
      </c>
      <c r="I70" s="4" t="inlineStr">
        <is>
          <t>1. Mở lại sổ điểm danh
2. Sửa dữ liệu
3. Lưu</t>
        </is>
      </c>
      <c r="J70" s="4" t="inlineStr">
        <is>
          <t>Bản ghi cũ được cập nhật qua AttendanceId; tổng số bản ghi của học viên/buổi không tăng.</t>
        </is>
      </c>
      <c r="K70" s="4" t="inlineStr"/>
      <c r="L70" s="4" t="inlineStr">
        <is>
          <t>Chưa chạy</t>
        </is>
      </c>
      <c r="M70" s="4" t="inlineStr">
        <is>
          <t>Critical</t>
        </is>
      </c>
      <c r="N70" s="4" t="inlineStr"/>
      <c r="O70" s="4" t="inlineStr"/>
      <c r="P70" s="4" t="inlineStr"/>
    </row>
    <row r="71" ht="72" customHeight="1">
      <c r="A71" s="4" t="inlineStr">
        <is>
          <t>TC-ATTENDANCE-010</t>
        </is>
      </c>
      <c r="B71" s="4" t="inlineStr">
        <is>
          <t>Attendance</t>
        </is>
      </c>
      <c r="C71" s="4" t="inlineStr">
        <is>
          <t>REQ-ATT-004</t>
        </is>
      </c>
      <c r="D71" s="4" t="inlineStr">
        <is>
          <t>Validation lớp, ngày và biên số buổi</t>
        </is>
      </c>
      <c r="E71" s="4" t="inlineStr">
        <is>
          <t>P0</t>
        </is>
      </c>
      <c r="F71" s="4" t="inlineStr">
        <is>
          <t>Boundary</t>
        </is>
      </c>
      <c r="G71" s="4" t="inlineStr">
        <is>
          <t>Đã đăng nhập bằng admin/admin@123.</t>
        </is>
      </c>
      <c r="H71" s="4" t="inlineStr">
        <is>
          <t>ClassId=0; date rỗng; session=0,1,200,201</t>
        </is>
      </c>
      <c r="I71" s="4" t="inlineStr">
        <is>
          <t>Submit lần lượt các bộ dữ liệu</t>
        </is>
      </c>
      <c r="J71" s="4" t="inlineStr">
        <is>
          <t>Class/date thiếu bị từ chối; session 1 và 200 hợp lệ, 0 và 201 không hợp lệ.</t>
        </is>
      </c>
      <c r="K71" s="4" t="inlineStr"/>
      <c r="L71" s="4" t="inlineStr">
        <is>
          <t>Chưa chạy</t>
        </is>
      </c>
      <c r="M71" s="4" t="inlineStr">
        <is>
          <t>High</t>
        </is>
      </c>
      <c r="N71" s="4" t="inlineStr"/>
      <c r="O71" s="4" t="inlineStr"/>
      <c r="P71" s="4" t="inlineStr"/>
    </row>
    <row r="72" ht="72" customHeight="1">
      <c r="A72" s="4" t="inlineStr">
        <is>
          <t>TC-ATTENDANCE-011</t>
        </is>
      </c>
      <c r="B72" s="4" t="inlineStr">
        <is>
          <t>Attendance</t>
        </is>
      </c>
      <c r="C72" s="4" t="inlineStr">
        <is>
          <t>REQ-ATT-005</t>
        </is>
      </c>
      <c r="D72" s="4" t="inlineStr">
        <is>
          <t>Giới hạn ghi chú điểm danh 255 ký tự</t>
        </is>
      </c>
      <c r="E72" s="4" t="inlineStr">
        <is>
          <t>P1</t>
        </is>
      </c>
      <c r="F72" s="4" t="inlineStr">
        <is>
          <t>Boundary</t>
        </is>
      </c>
      <c r="G72" s="4" t="inlineStr">
        <is>
          <t>Có sổ điểm danh hợp lệ.</t>
        </is>
      </c>
      <c r="H72" s="4" t="inlineStr">
        <is>
          <t>Note 255 và 256 ký tự</t>
        </is>
      </c>
      <c r="I72" s="4" t="inlineStr">
        <is>
          <t>Lưu lần lượt hai độ dài</t>
        </is>
      </c>
      <c r="J72" s="4" t="inlineStr">
        <is>
          <t>255 ký tự được lưu; 256 ký tự bị từ chối hoặc không được ghi vào database.</t>
        </is>
      </c>
      <c r="K72" s="4" t="inlineStr"/>
      <c r="L72" s="4" t="inlineStr">
        <is>
          <t>Chưa chạy</t>
        </is>
      </c>
      <c r="M72" s="4" t="inlineStr">
        <is>
          <t>Medium</t>
        </is>
      </c>
      <c r="N72" s="4" t="inlineStr"/>
      <c r="O72" s="4" t="inlineStr"/>
      <c r="P72" s="4" t="inlineStr"/>
    </row>
    <row r="73" ht="72" customHeight="1">
      <c r="A73" s="4" t="inlineStr">
        <is>
          <t>TC-ATTENDANCE-012</t>
        </is>
      </c>
      <c r="B73" s="4" t="inlineStr">
        <is>
          <t>Attendance</t>
        </is>
      </c>
      <c r="C73" s="4" t="inlineStr">
        <is>
          <t>REQ-ATT-006</t>
        </is>
      </c>
      <c r="D73" s="4" t="inlineStr">
        <is>
          <t>Xóa bản ghi điểm danh</t>
        </is>
      </c>
      <c r="E73" s="4" t="inlineStr">
        <is>
          <t>P1</t>
        </is>
      </c>
      <c r="F73" s="4" t="inlineStr">
        <is>
          <t>Functional</t>
        </is>
      </c>
      <c r="G73" s="4" t="inlineStr">
        <is>
          <t>Có Attendance QA có thể xóa.</t>
        </is>
      </c>
      <c r="H73" s="4" t="inlineStr">
        <is>
          <t>Attendance QA</t>
        </is>
      </c>
      <c r="I73" s="4" t="inlineStr">
        <is>
          <t>1. Mở Delete
2. Xác nhận</t>
        </is>
      </c>
      <c r="J73" s="4" t="inlineStr">
        <is>
          <t>Xóa thành công, thông báo phù hợp và bản ghi không còn trong danh sách.</t>
        </is>
      </c>
      <c r="K73" s="4" t="inlineStr"/>
      <c r="L73" s="4" t="inlineStr">
        <is>
          <t>Chưa chạy</t>
        </is>
      </c>
      <c r="M73" s="4" t="inlineStr">
        <is>
          <t>High</t>
        </is>
      </c>
      <c r="N73" s="4" t="inlineStr"/>
      <c r="O73" s="4" t="inlineStr"/>
      <c r="P73" s="4" t="inlineStr"/>
    </row>
    <row r="74" ht="72" customHeight="1">
      <c r="A74" s="4" t="inlineStr">
        <is>
          <t>TC-GRADE-001</t>
        </is>
      </c>
      <c r="B74" s="4" t="inlineStr">
        <is>
          <t>Grade</t>
        </is>
      </c>
      <c r="C74" s="4" t="inlineStr">
        <is>
          <t>REQ-GRADE-001</t>
        </is>
      </c>
      <c r="D74" s="4" t="inlineStr">
        <is>
          <t>Hiển thị danh sách điểm mới nhất</t>
        </is>
      </c>
      <c r="E74" s="4" t="inlineStr">
        <is>
          <t>P1</t>
        </is>
      </c>
      <c r="F74" s="4" t="inlineStr">
        <is>
          <t>Smoke</t>
        </is>
      </c>
      <c r="G74" s="4" t="inlineStr">
        <is>
          <t>Đã đăng nhập bằng admin/admin@123.</t>
        </is>
      </c>
      <c r="H74" s="4" t="inlineStr">
        <is>
          <t>Dữ liệu seed</t>
        </is>
      </c>
      <c r="I74" s="4" t="inlineStr">
        <is>
          <t>Mở /Grade và đối chiếu dữ liệu</t>
        </is>
      </c>
      <c r="J74" s="4" t="inlineStr">
        <is>
          <t>Danh sách đúng student/class/course/exam/điểm; GradeId lớn hơn trước.</t>
        </is>
      </c>
      <c r="K74" s="4" t="inlineStr"/>
      <c r="L74" s="4" t="inlineStr">
        <is>
          <t>Chưa chạy</t>
        </is>
      </c>
      <c r="M74" s="4" t="inlineStr">
        <is>
          <t>High</t>
        </is>
      </c>
      <c r="N74" s="4" t="inlineStr"/>
      <c r="O74" s="4" t="inlineStr"/>
      <c r="P74" s="4" t="inlineStr"/>
    </row>
    <row r="75" ht="72" customHeight="1">
      <c r="A75" s="4" t="inlineStr">
        <is>
          <t>TC-GRADE-002</t>
        </is>
      </c>
      <c r="B75" s="4" t="inlineStr">
        <is>
          <t>Grade</t>
        </is>
      </c>
      <c r="C75" s="4" t="inlineStr">
        <is>
          <t>REQ-GRADE-001</t>
        </is>
      </c>
      <c r="D75" s="4" t="inlineStr">
        <is>
          <t>Tìm điểm theo học viên hoặc mã lớp</t>
        </is>
      </c>
      <c r="E75" s="4" t="inlineStr">
        <is>
          <t>P1</t>
        </is>
      </c>
      <c r="F75" s="4" t="inlineStr">
        <is>
          <t>Functional</t>
        </is>
      </c>
      <c r="G75" s="4" t="inlineStr">
        <is>
          <t>Đã đăng nhập bằng admin/admin@123.</t>
        </is>
      </c>
      <c r="H75" s="4" t="inlineStr">
        <is>
          <t>Trần Thị Mai; SV2026002; IELTS-K02</t>
        </is>
      </c>
      <c r="I75" s="4" t="inlineStr">
        <is>
          <t>Tìm lần lượt theo ba từ khóa</t>
        </is>
      </c>
      <c r="J75" s="4" t="inlineStr">
        <is>
          <t>Kết quả phù hợp FullName, StudentCode hoặc ClassCode.</t>
        </is>
      </c>
      <c r="K75" s="4" t="inlineStr"/>
      <c r="L75" s="4" t="inlineStr">
        <is>
          <t>Chưa chạy</t>
        </is>
      </c>
      <c r="M75" s="4" t="inlineStr">
        <is>
          <t>Medium</t>
        </is>
      </c>
      <c r="N75" s="4" t="inlineStr"/>
      <c r="O75" s="4" t="inlineStr"/>
      <c r="P75" s="4" t="inlineStr"/>
    </row>
    <row r="76" ht="72" customHeight="1">
      <c r="A76" s="4" t="inlineStr">
        <is>
          <t>TC-GRADE-003</t>
        </is>
      </c>
      <c r="B76" s="4" t="inlineStr">
        <is>
          <t>Grade</t>
        </is>
      </c>
      <c r="C76" s="4" t="inlineStr">
        <is>
          <t>REQ-GRADE-001</t>
        </is>
      </c>
      <c r="D76" s="4" t="inlineStr">
        <is>
          <t>Lọc điểm theo lớp và kỳ kiểm tra</t>
        </is>
      </c>
      <c r="E76" s="4" t="inlineStr">
        <is>
          <t>P1</t>
        </is>
      </c>
      <c r="F76" s="4" t="inlineStr">
        <is>
          <t>Functional</t>
        </is>
      </c>
      <c r="G76" s="4" t="inlineStr">
        <is>
          <t>Đã đăng nhập bằng admin/admin@123.</t>
        </is>
      </c>
      <c r="H76" s="4" t="inlineStr">
        <is>
          <t>IELTS-K02; PlacementTest</t>
        </is>
      </c>
      <c r="I76" s="4" t="inlineStr">
        <is>
          <t>Lọc riêng từng điều kiện rồi kết hợp</t>
        </is>
      </c>
      <c r="J76" s="4" t="inlineStr">
        <is>
          <t>Kết quả đúng điều kiện và giữ lựa chọn filter.</t>
        </is>
      </c>
      <c r="K76" s="4" t="inlineStr"/>
      <c r="L76" s="4" t="inlineStr">
        <is>
          <t>Chưa chạy</t>
        </is>
      </c>
      <c r="M76" s="4" t="inlineStr">
        <is>
          <t>Medium</t>
        </is>
      </c>
      <c r="N76" s="4" t="inlineStr"/>
      <c r="O76" s="4" t="inlineStr"/>
      <c r="P76" s="4" t="inlineStr"/>
    </row>
    <row r="77" ht="72" customHeight="1">
      <c r="A77" s="4" t="inlineStr">
        <is>
          <t>TC-GRADE-004</t>
        </is>
      </c>
      <c r="B77" s="4" t="inlineStr">
        <is>
          <t>Grade</t>
        </is>
      </c>
      <c r="C77" s="4" t="inlineStr">
        <is>
          <t>REQ-GRADE-001</t>
        </is>
      </c>
      <c r="D77" s="4" t="inlineStr">
        <is>
          <t>Phân trang điểm 10 bản ghi và giữ bộ lọc</t>
        </is>
      </c>
      <c r="E77" s="4" t="inlineStr">
        <is>
          <t>P2</t>
        </is>
      </c>
      <c r="F77" s="4" t="inlineStr">
        <is>
          <t>Regression</t>
        </is>
      </c>
      <c r="G77" s="4" t="inlineStr">
        <is>
          <t>Có trên 10 bản ghi phù hợp.</t>
        </is>
      </c>
      <c r="H77" s="4" t="inlineStr">
        <is>
          <t>page=2</t>
        </is>
      </c>
      <c r="I77" s="4" t="inlineStr">
        <is>
          <t>Chuyển trang khi đang search/filter</t>
        </is>
      </c>
      <c r="J77" s="4" t="inlineStr">
        <is>
          <t>Tối đa 10 bản ghi/trang, không trùng/mất và giữ tham số.</t>
        </is>
      </c>
      <c r="K77" s="4" t="inlineStr"/>
      <c r="L77" s="4" t="inlineStr">
        <is>
          <t>Chưa chạy</t>
        </is>
      </c>
      <c r="M77" s="4" t="inlineStr">
        <is>
          <t>Medium</t>
        </is>
      </c>
      <c r="N77" s="4" t="inlineStr"/>
      <c r="O77" s="4" t="inlineStr"/>
      <c r="P77" s="4" t="inlineStr"/>
    </row>
    <row r="78" ht="72" customHeight="1">
      <c r="A78" s="4" t="inlineStr">
        <is>
          <t>TC-GRADE-005</t>
        </is>
      </c>
      <c r="B78" s="4" t="inlineStr">
        <is>
          <t>Grade</t>
        </is>
      </c>
      <c r="C78" s="4" t="inlineStr">
        <is>
          <t>REQ-GRADE-002</t>
        </is>
      </c>
      <c r="D78" s="4" t="inlineStr">
        <is>
          <t>Sổ điểm chỉ hiển thị học viên DangHoc</t>
        </is>
      </c>
      <c r="E78" s="4" t="inlineStr">
        <is>
          <t>P0</t>
        </is>
      </c>
      <c r="F78" s="4" t="inlineStr">
        <is>
          <t>Business Rule</t>
        </is>
      </c>
      <c r="G78" s="4" t="inlineStr">
        <is>
          <t>Một lớp có ghi danh DangHoc và BaoLuu/DaNghi.</t>
        </is>
      </c>
      <c r="H78" s="4" t="inlineStr">
        <is>
          <t>Chọn lớp test</t>
        </is>
      </c>
      <c r="I78" s="4" t="inlineStr">
        <is>
          <t>Mở EnterGrades</t>
        </is>
      </c>
      <c r="J78" s="4" t="inlineStr">
        <is>
          <t>Chỉ học viên DangHoc xuất hiện.</t>
        </is>
      </c>
      <c r="K78" s="4" t="inlineStr"/>
      <c r="L78" s="4" t="inlineStr">
        <is>
          <t>Chưa chạy</t>
        </is>
      </c>
      <c r="M78" s="4" t="inlineStr">
        <is>
          <t>Critical</t>
        </is>
      </c>
      <c r="N78" s="4" t="inlineStr"/>
      <c r="O78" s="4" t="inlineStr"/>
      <c r="P78" s="4" t="inlineStr"/>
    </row>
    <row r="79" ht="72" customHeight="1">
      <c r="A79" s="4" t="inlineStr">
        <is>
          <t>TC-GRADE-006</t>
        </is>
      </c>
      <c r="B79" s="4" t="inlineStr">
        <is>
          <t>Grade</t>
        </is>
      </c>
      <c r="C79" s="4" t="inlineStr">
        <is>
          <t>REQ-GRADE-002</t>
        </is>
      </c>
      <c r="D79" s="4" t="inlineStr">
        <is>
          <t>Nạp kỳ mặc định và điểm đã tồn tại</t>
        </is>
      </c>
      <c r="E79" s="4" t="inlineStr">
        <is>
          <t>P1</t>
        </is>
      </c>
      <c r="F79" s="4" t="inlineStr">
        <is>
          <t>Regression</t>
        </is>
      </c>
      <c r="G79" s="4" t="inlineStr">
        <is>
          <t>Đã đăng nhập Admin; có dữ liệu seed và dữ liệu QA cần thiết.</t>
        </is>
      </c>
      <c r="H79" s="4" t="inlineStr">
        <is>
          <t>Không truyền examType; sau đó GT-K01/GiuaKy</t>
        </is>
      </c>
      <c r="I79" s="4" t="inlineStr">
        <is>
          <t>1. Mở EnterGrades không có examType
2. Mở lớp/kỳ đã có điểm</t>
        </is>
      </c>
      <c r="J79" s="4" t="inlineStr">
        <is>
          <t>Mặc định GiuaKy; lần 2 hiển thị đúng các kỹ năng, Overall, feedback và GradeId.</t>
        </is>
      </c>
      <c r="K79" s="4" t="inlineStr"/>
      <c r="L79" s="4" t="inlineStr">
        <is>
          <t>Chưa chạy</t>
        </is>
      </c>
      <c r="M79" s="4" t="inlineStr">
        <is>
          <t>High</t>
        </is>
      </c>
      <c r="N79" s="4" t="inlineStr"/>
      <c r="O79" s="4" t="inlineStr"/>
      <c r="P79" s="4" t="inlineStr"/>
    </row>
    <row r="80" ht="72" customHeight="1">
      <c r="A80" s="4" t="inlineStr">
        <is>
          <t>TC-GRADE-007</t>
        </is>
      </c>
      <c r="B80" s="4" t="inlineStr">
        <is>
          <t>Grade</t>
        </is>
      </c>
      <c r="C80" s="4" t="inlineStr">
        <is>
          <t>REQ-GRADE-003</t>
        </is>
      </c>
      <c r="D80" s="4" t="inlineStr">
        <is>
          <t>Tạo bản ghi điểm mới khi có dữ liệu</t>
        </is>
      </c>
      <c r="E80" s="4" t="inlineStr">
        <is>
          <t>P0</t>
        </is>
      </c>
      <c r="F80" s="4" t="inlineStr">
        <is>
          <t>Smoke</t>
        </is>
      </c>
      <c r="G80" s="4" t="inlineStr">
        <is>
          <t>Học viên DangHoc chưa có điểm ở kỳ test.</t>
        </is>
      </c>
      <c r="H80" s="4" t="inlineStr">
        <is>
          <t>Một kỹ năng hoặc feedback</t>
        </is>
      </c>
      <c r="I80" s="4" t="inlineStr">
        <is>
          <t>Nhập dữ liệu và lưu</t>
        </is>
      </c>
      <c r="J80" s="4" t="inlineStr">
        <is>
          <t>Tạo đúng một Grade, thông báo thành công và mở lại thấy dữ liệu.</t>
        </is>
      </c>
      <c r="K80" s="4" t="inlineStr"/>
      <c r="L80" s="4" t="inlineStr">
        <is>
          <t>Chưa chạy</t>
        </is>
      </c>
      <c r="M80" s="4" t="inlineStr">
        <is>
          <t>Critical</t>
        </is>
      </c>
      <c r="N80" s="4" t="inlineStr"/>
      <c r="O80" s="4" t="inlineStr"/>
      <c r="P80" s="4" t="inlineStr"/>
    </row>
    <row r="81" ht="72" customHeight="1">
      <c r="A81" s="4" t="inlineStr">
        <is>
          <t>TC-GRADE-008</t>
        </is>
      </c>
      <c r="B81" s="4" t="inlineStr">
        <is>
          <t>Grade</t>
        </is>
      </c>
      <c r="C81" s="4" t="inlineStr">
        <is>
          <t>REQ-GRADE-003</t>
        </is>
      </c>
      <c r="D81" s="4" t="inlineStr">
        <is>
          <t>Không tạo Grade cho dòng hoàn toàn trống</t>
        </is>
      </c>
      <c r="E81" s="4" t="inlineStr">
        <is>
          <t>P0</t>
        </is>
      </c>
      <c r="F81" s="4" t="inlineStr">
        <is>
          <t>Negative</t>
        </is>
      </c>
      <c r="G81" s="4" t="inlineStr">
        <is>
          <t>Học viên DangHoc chưa có điểm ở kỳ test.</t>
        </is>
      </c>
      <c r="H81" s="4" t="inlineStr">
        <is>
          <t>Bốn điểm null; feedback rỗng</t>
        </is>
      </c>
      <c r="I81" s="4" t="inlineStr">
        <is>
          <t>Để trống dòng học viên và lưu sổ điểm</t>
        </is>
      </c>
      <c r="J81" s="4" t="inlineStr">
        <is>
          <t>Không tạo bản ghi Grade cho học viên đó.</t>
        </is>
      </c>
      <c r="K81" s="4" t="inlineStr"/>
      <c r="L81" s="4" t="inlineStr">
        <is>
          <t>Chưa chạy</t>
        </is>
      </c>
      <c r="M81" s="4" t="inlineStr">
        <is>
          <t>High</t>
        </is>
      </c>
      <c r="N81" s="4" t="inlineStr"/>
      <c r="O81" s="4" t="inlineStr"/>
      <c r="P81" s="4" t="inlineStr"/>
    </row>
    <row r="82" ht="72" customHeight="1">
      <c r="A82" s="4" t="inlineStr">
        <is>
          <t>TC-GRADE-009</t>
        </is>
      </c>
      <c r="B82" s="4" t="inlineStr">
        <is>
          <t>Grade</t>
        </is>
      </c>
      <c r="C82" s="4" t="inlineStr">
        <is>
          <t>REQ-GRADE-003</t>
        </is>
      </c>
      <c r="D82" s="4" t="inlineStr">
        <is>
          <t>Cập nhật Grade đã có không tạo trùng</t>
        </is>
      </c>
      <c r="E82" s="4" t="inlineStr">
        <is>
          <t>P0</t>
        </is>
      </c>
      <c r="F82" s="4" t="inlineStr">
        <is>
          <t>Regression</t>
        </is>
      </c>
      <c r="G82" s="4" t="inlineStr">
        <is>
          <t>Đã có GradeId cho học viên/kỳ.</t>
        </is>
      </c>
      <c r="H82" s="4" t="inlineStr">
        <is>
          <t>Sửa ReadingScore và feedback</t>
        </is>
      </c>
      <c r="I82" s="4" t="inlineStr">
        <is>
          <t>1. Mở sổ điểm
2. Sửa
3. Lưu</t>
        </is>
      </c>
      <c r="J82" s="4" t="inlineStr">
        <is>
          <t>Grade cũ được cập nhật; không tăng số bản ghi cho học viên/kỳ.</t>
        </is>
      </c>
      <c r="K82" s="4" t="inlineStr"/>
      <c r="L82" s="4" t="inlineStr">
        <is>
          <t>Chưa chạy</t>
        </is>
      </c>
      <c r="M82" s="4" t="inlineStr">
        <is>
          <t>Critical</t>
        </is>
      </c>
      <c r="N82" s="4" t="inlineStr"/>
      <c r="O82" s="4" t="inlineStr"/>
      <c r="P82" s="4" t="inlineStr"/>
    </row>
    <row r="83" ht="72" customHeight="1">
      <c r="A83" s="4" t="inlineStr">
        <is>
          <t>TC-GRADE-010</t>
        </is>
      </c>
      <c r="B83" s="4" t="inlineStr">
        <is>
          <t>Grade</t>
        </is>
      </c>
      <c r="C83" s="4" t="inlineStr">
        <is>
          <t>REQ-GRADE-004</t>
        </is>
      </c>
      <c r="D83" s="4" t="inlineStr">
        <is>
          <t>Biên điểm kỹ năng 0-990</t>
        </is>
      </c>
      <c r="E83" s="4" t="inlineStr">
        <is>
          <t>P0</t>
        </is>
      </c>
      <c r="F83" s="4" t="inlineStr">
        <is>
          <t>Boundary</t>
        </is>
      </c>
      <c r="G83" s="4" t="inlineStr">
        <is>
          <t>Có sổ điểm hợp lệ.</t>
        </is>
      </c>
      <c r="H83" s="4" t="inlineStr">
        <is>
          <t>-0.1; 0; 990; 990.1 cho từng kỹ năng</t>
        </is>
      </c>
      <c r="I83" s="4" t="inlineStr">
        <is>
          <t>Submit lần lượt giá trị biên và vượt biên</t>
        </is>
      </c>
      <c r="J83" s="4" t="inlineStr">
        <is>
          <t>0 và 990 hợp lệ; giá trị nhỏ hơn 0 hoặc lớn hơn 990 bị từ chối.</t>
        </is>
      </c>
      <c r="K83" s="4" t="inlineStr"/>
      <c r="L83" s="4" t="inlineStr">
        <is>
          <t>Chưa chạy</t>
        </is>
      </c>
      <c r="M83" s="4" t="inlineStr">
        <is>
          <t>High</t>
        </is>
      </c>
      <c r="N83" s="4" t="inlineStr"/>
      <c r="O83" s="4" t="inlineStr"/>
      <c r="P83" s="4" t="inlineStr"/>
    </row>
    <row r="84" ht="72" customHeight="1">
      <c r="A84" s="4" t="inlineStr">
        <is>
          <t>TC-GRADE-011</t>
        </is>
      </c>
      <c r="B84" s="4" t="inlineStr">
        <is>
          <t>Grade</t>
        </is>
      </c>
      <c r="C84" s="4" t="inlineStr">
        <is>
          <t>REQ-GRADE-005</t>
        </is>
      </c>
      <c r="D84" s="4" t="inlineStr">
        <is>
          <t>Validation kỳ kiểm tra và nhận xét</t>
        </is>
      </c>
      <c r="E84" s="4" t="inlineStr">
        <is>
          <t>P1</t>
        </is>
      </c>
      <c r="F84" s="4" t="inlineStr">
        <is>
          <t>Boundary</t>
        </is>
      </c>
      <c r="G84" s="4" t="inlineStr">
        <is>
          <t>Có sổ điểm hợp lệ.</t>
        </is>
      </c>
      <c r="H84" s="4" t="inlineStr">
        <is>
          <t>ExamType rỗng/50/51 ký tự; feedback 500/501 ký tự</t>
        </is>
      </c>
      <c r="I84" s="4" t="inlineStr">
        <is>
          <t>Submit lần lượt các dữ liệu</t>
        </is>
      </c>
      <c r="J84" s="4" t="inlineStr">
        <is>
          <t>Rỗng/vượt giới hạn bị từ chối; giá trị đúng giới hạn được lưu.</t>
        </is>
      </c>
      <c r="K84" s="4" t="inlineStr"/>
      <c r="L84" s="4" t="inlineStr">
        <is>
          <t>Chưa chạy</t>
        </is>
      </c>
      <c r="M84" s="4" t="inlineStr">
        <is>
          <t>Medium</t>
        </is>
      </c>
      <c r="N84" s="4" t="inlineStr"/>
      <c r="O84" s="4" t="inlineStr"/>
      <c r="P84" s="4" t="inlineStr"/>
    </row>
    <row r="85" ht="72" customHeight="1">
      <c r="A85" s="4" t="inlineStr">
        <is>
          <t>TC-GRADE-012</t>
        </is>
      </c>
      <c r="B85" s="4" t="inlineStr">
        <is>
          <t>Grade</t>
        </is>
      </c>
      <c r="C85" s="4" t="inlineStr">
        <is>
          <t>REQ-GRADE-006</t>
        </is>
      </c>
      <c r="D85" s="4" t="inlineStr">
        <is>
          <t>Tính tổng TOEIC từ Listening và Reading</t>
        </is>
      </c>
      <c r="E85" s="4" t="inlineStr">
        <is>
          <t>P0</t>
        </is>
      </c>
      <c r="F85" s="4" t="inlineStr">
        <is>
          <t>Business Rule</t>
        </is>
      </c>
      <c r="G85" s="4" t="inlineStr">
        <is>
          <t>CourseName hoặc ExamType chứa TOEIC.</t>
        </is>
      </c>
      <c r="H85" s="4" t="inlineStr">
        <is>
          <t>L=400,R=350; L=400,R=null; cả hai null</t>
        </is>
      </c>
      <c r="I85" s="4" t="inlineStr">
        <is>
          <t>Lưu từng bộ dữ liệu</t>
        </is>
      </c>
      <c r="J85" s="4" t="inlineStr">
        <is>
          <t>Overall lần lượt 750, 400 và null; Writing/Speaking không ảnh hưởng tổng TOEIC.</t>
        </is>
      </c>
      <c r="K85" s="4" t="inlineStr"/>
      <c r="L85" s="4" t="inlineStr">
        <is>
          <t>Chưa chạy</t>
        </is>
      </c>
      <c r="M85" s="4" t="inlineStr">
        <is>
          <t>Critical</t>
        </is>
      </c>
      <c r="N85" s="4" t="inlineStr"/>
      <c r="O85" s="4" t="inlineStr"/>
      <c r="P85" s="4" t="inlineStr"/>
    </row>
    <row r="86" ht="72" customHeight="1">
      <c r="A86" s="4" t="inlineStr">
        <is>
          <t>TC-GRADE-013</t>
        </is>
      </c>
      <c r="B86" s="4" t="inlineStr">
        <is>
          <t>Grade</t>
        </is>
      </c>
      <c r="C86" s="4" t="inlineStr">
        <is>
          <t>REQ-GRADE-007</t>
        </is>
      </c>
      <c r="D86" s="4" t="inlineStr">
        <is>
          <t>Làm tròn IELTS tại các ngưỡng band</t>
        </is>
      </c>
      <c r="E86" s="4" t="inlineStr">
        <is>
          <t>P0</t>
        </is>
      </c>
      <c r="F86" s="4" t="inlineStr">
        <is>
          <t>Business Rule</t>
        </is>
      </c>
      <c r="G86" s="4" t="inlineStr">
        <is>
          <t>CourseName hoặc ExamType chứa IELTS.</t>
        </is>
      </c>
      <c r="H86" s="4" t="inlineStr">
        <is>
          <t>Average=6.24, 6.25, 6.74, 6.75</t>
        </is>
      </c>
      <c r="I86" s="4" t="inlineStr">
        <is>
          <t>Nhập bộ điểm tạo từng average rồi lưu</t>
        </is>
      </c>
      <c r="J86" s="4" t="inlineStr">
        <is>
          <t>Overall lần lượt 6.0, 6.5, 6.5, 7.0.</t>
        </is>
      </c>
      <c r="K86" s="4" t="inlineStr"/>
      <c r="L86" s="4" t="inlineStr">
        <is>
          <t>Chưa chạy</t>
        </is>
      </c>
      <c r="M86" s="4" t="inlineStr">
        <is>
          <t>Critical</t>
        </is>
      </c>
      <c r="N86" s="4" t="inlineStr"/>
      <c r="O86" s="4" t="inlineStr"/>
      <c r="P86" s="4" t="inlineStr"/>
    </row>
    <row r="87" ht="72" customHeight="1">
      <c r="A87" s="4" t="inlineStr">
        <is>
          <t>TC-GRADE-014</t>
        </is>
      </c>
      <c r="B87" s="4" t="inlineStr">
        <is>
          <t>Grade</t>
        </is>
      </c>
      <c r="C87" s="4" t="inlineStr">
        <is>
          <t>REQ-GRADE-008</t>
        </is>
      </c>
      <c r="D87" s="4" t="inlineStr">
        <is>
          <t>Tính trung bình khóa học thường</t>
        </is>
      </c>
      <c r="E87" s="4" t="inlineStr">
        <is>
          <t>P1</t>
        </is>
      </c>
      <c r="F87" s="4" t="inlineStr">
        <is>
          <t>Business Rule</t>
        </is>
      </c>
      <c r="G87" s="4" t="inlineStr">
        <is>
          <t>Course/ExamType không chứa IELTS hoặc TOEIC.</t>
        </is>
      </c>
      <c r="H87" s="4" t="inlineStr">
        <is>
          <t>L=7.2,R=6.4,W=null,S=8.1</t>
        </is>
      </c>
      <c r="I87" s="4" t="inlineStr">
        <is>
          <t>Lưu điểm</t>
        </is>
      </c>
      <c r="J87" s="4" t="inlineStr">
        <is>
          <t>Overall là trung bình ba kỹ năng đã nhập, làm tròn một chữ số: 7.2.</t>
        </is>
      </c>
      <c r="K87" s="4" t="inlineStr"/>
      <c r="L87" s="4" t="inlineStr">
        <is>
          <t>Chưa chạy</t>
        </is>
      </c>
      <c r="M87" s="4" t="inlineStr">
        <is>
          <t>High</t>
        </is>
      </c>
      <c r="N87" s="4" t="inlineStr"/>
      <c r="O87" s="4" t="inlineStr"/>
      <c r="P87" s="4" t="inlineStr"/>
    </row>
    <row r="88" ht="72" customHeight="1">
      <c r="A88" s="4" t="inlineStr">
        <is>
          <t>TC-GRADE-015</t>
        </is>
      </c>
      <c r="B88" s="4" t="inlineStr">
        <is>
          <t>Grade</t>
        </is>
      </c>
      <c r="C88" s="4" t="inlineStr">
        <is>
          <t>REQ-GRADE-009</t>
        </is>
      </c>
      <c r="D88" s="4" t="inlineStr">
        <is>
          <t>Xóa bản ghi điểm</t>
        </is>
      </c>
      <c r="E88" s="4" t="inlineStr">
        <is>
          <t>P1</t>
        </is>
      </c>
      <c r="F88" s="4" t="inlineStr">
        <is>
          <t>Functional</t>
        </is>
      </c>
      <c r="G88" s="4" t="inlineStr">
        <is>
          <t>Có Grade QA có thể xóa.</t>
        </is>
      </c>
      <c r="H88" s="4" t="inlineStr">
        <is>
          <t>Grade QA</t>
        </is>
      </c>
      <c r="I88" s="4" t="inlineStr">
        <is>
          <t>1. Mở Delete
2. Xác nhận</t>
        </is>
      </c>
      <c r="J88" s="4" t="inlineStr">
        <is>
          <t>Xóa thành công, thông báo phù hợp và bản ghi không còn trong danh sách/sổ điểm.</t>
        </is>
      </c>
      <c r="K88" s="4" t="inlineStr"/>
      <c r="L88" s="4" t="inlineStr">
        <is>
          <t>Chưa chạy</t>
        </is>
      </c>
      <c r="M88" s="4" t="inlineStr">
        <is>
          <t>High</t>
        </is>
      </c>
      <c r="N88" s="4" t="inlineStr"/>
      <c r="O88" s="4" t="inlineStr"/>
      <c r="P88" s="4" t="inlineStr"/>
    </row>
    <row r="89" ht="72" customHeight="1">
      <c r="A89" s="4" t="inlineStr">
        <is>
          <t>TC-COMMON-001</t>
        </is>
      </c>
      <c r="B89" s="4" t="inlineStr">
        <is>
          <t>Common</t>
        </is>
      </c>
      <c r="C89" s="4" t="inlineStr">
        <is>
          <t>REQ-COMMON-001</t>
        </is>
      </c>
      <c r="D89" s="4" t="inlineStr">
        <is>
          <t>Chưa đăng nhập bị chuyển đến Login từ mọi module quản trị</t>
        </is>
      </c>
      <c r="E89" s="4" t="inlineStr">
        <is>
          <t>P0</t>
        </is>
      </c>
      <c r="F89" s="4" t="inlineStr">
        <is>
          <t>Authorization</t>
        </is>
      </c>
      <c r="G89" s="4" t="inlineStr">
        <is>
          <t>Xóa cookie/phiên đăng nhập.</t>
        </is>
      </c>
      <c r="H89" s="4" t="inlineStr">
        <is>
          <t>/Course, /Class, /Enrollment, /Attendance, /Grade</t>
        </is>
      </c>
      <c r="I89" s="4" t="inlineStr">
        <is>
          <t>Mở trực tiếp từng URL</t>
        </is>
      </c>
      <c r="J89" s="4" t="inlineStr">
        <is>
          <t>Mỗi request chuyển đến /Account/Login và giữ ReturnUrl nội bộ.</t>
        </is>
      </c>
      <c r="K89" s="4" t="inlineStr"/>
      <c r="L89" s="4" t="inlineStr">
        <is>
          <t>Chưa chạy</t>
        </is>
      </c>
      <c r="M89" s="4" t="inlineStr">
        <is>
          <t>Critical</t>
        </is>
      </c>
      <c r="N89" s="4" t="inlineStr"/>
      <c r="O89" s="4" t="inlineStr"/>
      <c r="P89" s="4" t="inlineStr"/>
    </row>
    <row r="90" ht="72" customHeight="1">
      <c r="A90" s="4" t="inlineStr">
        <is>
          <t>TC-COMMON-002</t>
        </is>
      </c>
      <c r="B90" s="4" t="inlineStr">
        <is>
          <t>Common</t>
        </is>
      </c>
      <c r="C90" s="4" t="inlineStr">
        <is>
          <t>REQ-COMMON-002</t>
        </is>
      </c>
      <c r="D90" s="4" t="inlineStr">
        <is>
          <t>POST thay đổi dữ liệu thiếu anti-forgery token bị từ chối</t>
        </is>
      </c>
      <c r="E90" s="4" t="inlineStr">
        <is>
          <t>P0</t>
        </is>
      </c>
      <c r="F90" s="4" t="inlineStr">
        <is>
          <t>Security</t>
        </is>
      </c>
      <c r="G90" s="4" t="inlineStr">
        <is>
          <t>Có phiên Admin hợp lệ.</t>
        </is>
      </c>
      <c r="H90" s="4" t="inlineStr">
        <is>
          <t>POST Create/Edit/Delete/Save không có token</t>
        </is>
      </c>
      <c r="I90" s="4" t="inlineStr">
        <is>
          <t>Gửi request trực tiếp không kèm token tới từng nhóm action</t>
        </is>
      </c>
      <c r="J90" s="4" t="inlineStr">
        <is>
          <t>Request bị từ chối (HTTP 400); database không thay đổi.</t>
        </is>
      </c>
      <c r="K90" s="4" t="inlineStr"/>
      <c r="L90" s="4" t="inlineStr">
        <is>
          <t>Chưa chạy</t>
        </is>
      </c>
      <c r="M90" s="4" t="inlineStr">
        <is>
          <t>Critical</t>
        </is>
      </c>
      <c r="N90" s="4" t="inlineStr"/>
      <c r="O90" s="4" t="inlineStr"/>
      <c r="P90" s="4" t="inlineStr"/>
    </row>
    <row r="91" ht="72" customHeight="1">
      <c r="A91" s="4" t="inlineStr">
        <is>
          <t>TC-COMMON-003</t>
        </is>
      </c>
      <c r="B91" s="4" t="inlineStr">
        <is>
          <t>Common</t>
        </is>
      </c>
      <c r="C91" s="4" t="inlineStr">
        <is>
          <t>REQ-COMMON-003</t>
        </is>
      </c>
      <c r="D91" s="4" t="inlineStr">
        <is>
          <t>Xử lý id rỗng hoặc không tồn tại</t>
        </is>
      </c>
      <c r="E91" s="4" t="inlineStr">
        <is>
          <t>P1</t>
        </is>
      </c>
      <c r="F91" s="4" t="inlineStr">
        <is>
          <t>Negative</t>
        </is>
      </c>
      <c r="G91" s="4" t="inlineStr">
        <is>
          <t>Đã đăng nhập bằng admin/admin@123.</t>
        </is>
      </c>
      <c r="H91" s="4" t="inlineStr">
        <is>
          <t>id rỗng; id=999999 cho Details/Edit/Delete</t>
        </is>
      </c>
      <c r="I91" s="4" t="inlineStr">
        <is>
          <t>Thử trên Course, Class, Enrollment, Attendance, Grade</t>
        </is>
      </c>
      <c r="J91" s="4" t="inlineStr">
        <is>
          <t>Trả Not Found phù hợp; không lộ exception stack trace.</t>
        </is>
      </c>
      <c r="K91" s="4" t="inlineStr"/>
      <c r="L91" s="4" t="inlineStr">
        <is>
          <t>Chưa chạy</t>
        </is>
      </c>
      <c r="M91" s="4" t="inlineStr">
        <is>
          <t>High</t>
        </is>
      </c>
      <c r="N91" s="4" t="inlineStr"/>
      <c r="O91" s="4" t="inlineStr"/>
      <c r="P91" s="4" t="inlineStr"/>
    </row>
    <row r="92" ht="72" customHeight="1">
      <c r="A92" s="4" t="inlineStr">
        <is>
          <t>TC-COMMON-004</t>
        </is>
      </c>
      <c r="B92" s="4" t="inlineStr">
        <is>
          <t>Common</t>
        </is>
      </c>
      <c r="C92" s="4" t="inlineStr">
        <is>
          <t>REQ-COMMON-004</t>
        </is>
      </c>
      <c r="D92" s="4" t="inlineStr">
        <is>
          <t>Build solution thành công</t>
        </is>
      </c>
      <c r="E92" s="4" t="inlineStr">
        <is>
          <t>P0</t>
        </is>
      </c>
      <c r="F92" s="4" t="inlineStr">
        <is>
          <t>Build</t>
        </is>
      </c>
      <c r="G92" s="4" t="inlineStr">
        <is>
          <t>Đã restore package; có .NET 10 SDK.</t>
        </is>
      </c>
      <c r="H92" s="4" t="inlineStr">
        <is>
          <t>dotnet build Assignment.slnx --no-restore</t>
        </is>
      </c>
      <c r="I92" s="4" t="inlineStr">
        <is>
          <t>Chạy lệnh build tại repo root</t>
        </is>
      </c>
      <c r="J92" s="4" t="inlineStr">
        <is>
          <t>Exit code 0 và không có compile error.</t>
        </is>
      </c>
      <c r="K92" s="4" t="inlineStr"/>
      <c r="L92" s="4" t="inlineStr">
        <is>
          <t>Chưa chạy</t>
        </is>
      </c>
      <c r="M92" s="4" t="inlineStr">
        <is>
          <t>Critical</t>
        </is>
      </c>
      <c r="N92" s="4" t="inlineStr"/>
      <c r="O92" s="4" t="inlineStr"/>
      <c r="P92" s="4" t="inlineStr"/>
    </row>
    <row r="93" ht="72" customHeight="1">
      <c r="A93" s="4" t="inlineStr">
        <is>
          <t>TC-COMMON-005</t>
        </is>
      </c>
      <c r="B93" s="4" t="inlineStr">
        <is>
          <t>Common</t>
        </is>
      </c>
      <c r="C93" s="4" t="inlineStr">
        <is>
          <t>REQ-COMMON-004</t>
        </is>
      </c>
      <c r="D93" s="4" t="inlineStr">
        <is>
          <t>Khởi tạo database và seed account/data</t>
        </is>
      </c>
      <c r="E93" s="4" t="inlineStr">
        <is>
          <t>P0</t>
        </is>
      </c>
      <c r="F93" s="4" t="inlineStr">
        <is>
          <t>Integration</t>
        </is>
      </c>
      <c r="G93" s="4" t="inlineStr">
        <is>
          <t>SQL Server khả dụng; database test chưa tồn tại; connection string hợp lệ.</t>
        </is>
      </c>
      <c r="H93" s="4" t="inlineStr">
        <is>
          <t>EnglishCenterDb test sạch</t>
        </is>
      </c>
      <c r="I93" s="4" t="inlineStr">
        <is>
          <t>1. Chạy app
2. Kiểm tra schema/data
3. Đăng nhập bốn tài khoản seed</t>
        </is>
      </c>
      <c r="J93" s="4" t="inlineStr">
        <is>
          <t>Database được tạo một lần; role/user/student/course/class/enrollment/attendance/grade seed có mặt và tài khoản đăng nhập được.</t>
        </is>
      </c>
      <c r="K93" s="4" t="inlineStr"/>
      <c r="L93" s="4" t="inlineStr">
        <is>
          <t>Chưa chạy</t>
        </is>
      </c>
      <c r="M93" s="4" t="inlineStr">
        <is>
          <t>Critical</t>
        </is>
      </c>
      <c r="N93" s="4" t="inlineStr"/>
      <c r="O93" s="4" t="inlineStr"/>
      <c r="P93" s="4" t="inlineStr"/>
    </row>
    <row r="94" ht="72" customHeight="1">
      <c r="A94" s="4" t="inlineStr">
        <is>
          <t>TC-COMMON-006</t>
        </is>
      </c>
      <c r="B94" s="4" t="inlineStr">
        <is>
          <t>Common</t>
        </is>
      </c>
      <c r="C94" s="4" t="inlineStr">
        <is>
          <t>REQ-COMMON-005</t>
        </is>
      </c>
      <c r="D94" s="4" t="inlineStr">
        <is>
          <t>Kiểm tra trình duyệt, bố cục và thao tác bàn phím cơ bản</t>
        </is>
      </c>
      <c r="E94" s="4" t="inlineStr">
        <is>
          <t>P2</t>
        </is>
      </c>
      <c r="F94" s="4" t="inlineStr">
        <is>
          <t>UI</t>
        </is>
      </c>
      <c r="G94" s="4" t="inlineStr">
        <is>
          <t>Ứng dụng chạy với dữ liệu seed.</t>
        </is>
      </c>
      <c r="H94" s="4" t="inlineStr">
        <is>
          <t>Chrome/Edge; 1366x768 và 1920x1080</t>
        </is>
      </c>
      <c r="I94" s="4" t="inlineStr">
        <is>
          <t>Đi qua luồng chính bằng chuột và bàn phím; resize hai viewport</t>
        </is>
      </c>
      <c r="J94" s="4" t="inlineStr">
        <is>
          <t>Không có nội dung chồng/tràn; focus nhìn thấy; label/validation đọc được; thao tác chính hoàn tất trên cả hai trình duyệt.</t>
        </is>
      </c>
      <c r="K94" s="4" t="inlineStr"/>
      <c r="L94" s="4" t="inlineStr">
        <is>
          <t>Chưa chạy</t>
        </is>
      </c>
      <c r="M94" s="4" t="inlineStr">
        <is>
          <t>Medium</t>
        </is>
      </c>
      <c r="N94" s="4" t="inlineStr"/>
      <c r="O94" s="4" t="inlineStr"/>
      <c r="P94" s="4" t="inlineStr"/>
    </row>
  </sheetData>
  <mergeCells count="2">
    <mergeCell ref="A1:P1"/>
    <mergeCell ref="A2:P2"/>
  </mergeCells>
  <conditionalFormatting sqref="L5:L94">
    <cfRule type="expression" priority="1" dxfId="0">
      <formula>$L5="Pass"</formula>
    </cfRule>
    <cfRule type="expression" priority="2" dxfId="1">
      <formula>$L5="Fail"</formula>
    </cfRule>
    <cfRule type="expression" priority="3" dxfId="2">
      <formula>$L5="Blocked"</formula>
    </cfRule>
    <cfRule type="expression" priority="4" dxfId="3">
      <formula>$L5="Chưa chạy"</formula>
    </cfRule>
  </conditionalFormatting>
  <dataValidations count="4">
    <dataValidation sqref="E5:E94" showDropDown="0" showInputMessage="0" showErrorMessage="0" allowBlank="1" errorTitle="Giá trị không hợp lệ" error="Vui lòng chọn một giá trị trong danh sách." promptTitle="Danh sách lựa chọn" prompt="Chọn giá trị chuẩn." type="list">
      <formula1>"P0,P1,P2,P3"</formula1>
    </dataValidation>
    <dataValidation sqref="F5:F94" showDropDown="0" showInputMessage="0" showErrorMessage="0" allowBlank="1" errorTitle="Giá trị không hợp lệ" error="Vui lòng chọn một giá trị trong danh sách." promptTitle="Danh sách lựa chọn" prompt="Chọn giá trị chuẩn." type="list">
      <formula1>"Smoke,Functional,Negative,Validation,Boundary,Business Rule,Authorization,Security,Regression,Build,Integration,UI"</formula1>
    </dataValidation>
    <dataValidation sqref="L5:L94" showDropDown="0" showInputMessage="0" showErrorMessage="0" allowBlank="1" errorTitle="Giá trị không hợp lệ" error="Vui lòng chọn một giá trị trong danh sách." promptTitle="Danh sách lựa chọn" prompt="Chọn giá trị chuẩn." type="list">
      <formula1>"Chưa chạy,Pass,Fail,Blocked,N/A"</formula1>
    </dataValidation>
    <dataValidation sqref="M5:M94" showDropDown="0" showInputMessage="0" showErrorMessage="0" allowBlank="1" errorTitle="Giá trị không hợp lệ" error="Vui lòng chọn một giá trị trong danh sách." promptTitle="Danh sách lựa chọn" prompt="Chọn giá trị chuẩn." type="list">
      <formula1>"Blocker,Critical,High,Medium,Low"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66" customWidth="1" min="3" max="3"/>
    <col width="58" customWidth="1" min="4" max="4"/>
    <col width="11" customWidth="1" min="5" max="5"/>
    <col width="11" customWidth="1" min="6" max="6"/>
    <col width="11" customWidth="1" min="7" max="7"/>
    <col width="12" customWidth="1" min="8" max="8"/>
    <col width="17" customWidth="1" min="9" max="9"/>
    <col width="18" customWidth="1" min="10" max="10"/>
  </cols>
  <sheetData>
    <row r="1" ht="28" customHeight="1">
      <c r="A1" s="1" t="inlineStr">
        <is>
          <t>REQUIREMENTS TRACEABILITY MATRIX</t>
        </is>
      </c>
    </row>
    <row r="2" ht="30" customHeight="1">
      <c r="A2" s="2" t="inlineStr">
        <is>
          <t>Liên kết Requirement -&gt; Test Case -&gt; kết quả chạy test.</t>
        </is>
      </c>
    </row>
    <row r="4" ht="32" customHeight="1">
      <c r="A4" s="3" t="inlineStr">
        <is>
          <t>REQ ID</t>
        </is>
      </c>
      <c r="B4" s="3" t="inlineStr">
        <is>
          <t>Module</t>
        </is>
      </c>
      <c r="C4" s="3" t="inlineStr">
        <is>
          <t>Yêu cầu</t>
        </is>
      </c>
      <c r="D4" s="3" t="inlineStr">
        <is>
          <t>Test Case IDs</t>
        </is>
      </c>
      <c r="E4" s="3" t="inlineStr">
        <is>
          <t>Số TC</t>
        </is>
      </c>
      <c r="F4" s="3" t="inlineStr">
        <is>
          <t>Pass</t>
        </is>
      </c>
      <c r="G4" s="3" t="inlineStr">
        <is>
          <t>Fail</t>
        </is>
      </c>
      <c r="H4" s="3" t="inlineStr">
        <is>
          <t>Blocked</t>
        </is>
      </c>
      <c r="I4" s="3" t="inlineStr">
        <is>
          <t>Coverage</t>
        </is>
      </c>
      <c r="J4" s="3" t="inlineStr">
        <is>
          <t>Kết quả mới nhất</t>
        </is>
      </c>
    </row>
    <row r="5">
      <c r="A5" s="4" t="inlineStr">
        <is>
          <t>REQ-AUTH-001</t>
        </is>
      </c>
      <c r="B5" s="4" t="inlineStr">
        <is>
          <t>Auth</t>
        </is>
      </c>
      <c r="C5" s="4" t="inlineStr">
        <is>
          <t>Người dùng hoạt động đăng nhập được bằng đúng tên đăng nhập và mật khẩu.</t>
        </is>
      </c>
      <c r="D5" s="4" t="inlineStr">
        <is>
          <t>TC-AUTH-001, TC-AUTH-002, TC-AUTH-003</t>
        </is>
      </c>
      <c r="E5" s="4">
        <f>COUNTIF('Test Cases'!$C:$C,A5)</f>
        <v/>
      </c>
      <c r="F5" s="4">
        <f>COUNTIFS('Test Cases'!$C:$C,A5,'Test Cases'!$L:$L,"Pass")</f>
        <v/>
      </c>
      <c r="G5" s="4">
        <f>COUNTIFS('Test Cases'!$C:$C,A5,'Test Cases'!$L:$L,"Fail")</f>
        <v/>
      </c>
      <c r="H5" s="4">
        <f>COUNTIFS('Test Cases'!$C:$C,A5,'Test Cases'!$L:$L,"Blocked")</f>
        <v/>
      </c>
      <c r="I5" s="4">
        <f>IF(E5=0,"Chưa bao phủ","Đã bao phủ")</f>
        <v/>
      </c>
      <c r="J5" s="4">
        <f>IF(E5=0,"No TC",IF(G5&gt;0,"Fail",IF(H5&gt;0,"Blocked",IF(F5=E5,"Pass","Chưa hoàn tất"))))</f>
        <v/>
      </c>
    </row>
    <row r="6">
      <c r="A6" s="4" t="inlineStr">
        <is>
          <t>REQ-AUTH-002</t>
        </is>
      </c>
      <c r="B6" s="4" t="inlineStr">
        <is>
          <t>Auth</t>
        </is>
      </c>
      <c r="C6" s="4" t="inlineStr">
        <is>
          <t>Hệ thống từ chối tài khoản không tồn tại, bị khóa hoặc sai mật khẩu.</t>
        </is>
      </c>
      <c r="D6" s="4" t="inlineStr">
        <is>
          <t>TC-AUTH-004, TC-AUTH-005</t>
        </is>
      </c>
      <c r="E6" s="4">
        <f>COUNTIF('Test Cases'!$C:$C,A6)</f>
        <v/>
      </c>
      <c r="F6" s="4">
        <f>COUNTIFS('Test Cases'!$C:$C,A6,'Test Cases'!$L:$L,"Pass")</f>
        <v/>
      </c>
      <c r="G6" s="4">
        <f>COUNTIFS('Test Cases'!$C:$C,A6,'Test Cases'!$L:$L,"Fail")</f>
        <v/>
      </c>
      <c r="H6" s="4">
        <f>COUNTIFS('Test Cases'!$C:$C,A6,'Test Cases'!$L:$L,"Blocked")</f>
        <v/>
      </c>
      <c r="I6" s="4">
        <f>IF(E6=0,"Chưa bao phủ","Đã bao phủ")</f>
        <v/>
      </c>
      <c r="J6" s="4">
        <f>IF(E6=0,"No TC",IF(G6&gt;0,"Fail",IF(H6&gt;0,"Blocked",IF(F6=E6,"Pass","Chưa hoàn tất"))))</f>
        <v/>
      </c>
    </row>
    <row r="7">
      <c r="A7" s="4" t="inlineStr">
        <is>
          <t>REQ-AUTH-003</t>
        </is>
      </c>
      <c r="B7" s="4" t="inlineStr">
        <is>
          <t>Auth</t>
        </is>
      </c>
      <c r="C7" s="4" t="inlineStr">
        <is>
          <t>Tên đăng nhập và mật khẩu là dữ liệu bắt buộc.</t>
        </is>
      </c>
      <c r="D7" s="4" t="inlineStr">
        <is>
          <t>TC-AUTH-006</t>
        </is>
      </c>
      <c r="E7" s="4">
        <f>COUNTIF('Test Cases'!$C:$C,A7)</f>
        <v/>
      </c>
      <c r="F7" s="4">
        <f>COUNTIFS('Test Cases'!$C:$C,A7,'Test Cases'!$L:$L,"Pass")</f>
        <v/>
      </c>
      <c r="G7" s="4">
        <f>COUNTIFS('Test Cases'!$C:$C,A7,'Test Cases'!$L:$L,"Fail")</f>
        <v/>
      </c>
      <c r="H7" s="4">
        <f>COUNTIFS('Test Cases'!$C:$C,A7,'Test Cases'!$L:$L,"Blocked")</f>
        <v/>
      </c>
      <c r="I7" s="4">
        <f>IF(E7=0,"Chưa bao phủ","Đã bao phủ")</f>
        <v/>
      </c>
      <c r="J7" s="4">
        <f>IF(E7=0,"No TC",IF(G7&gt;0,"Fail",IF(H7&gt;0,"Blocked",IF(F7=E7,"Pass","Chưa hoàn tất"))))</f>
        <v/>
      </c>
    </row>
    <row r="8">
      <c r="A8" s="4" t="inlineStr">
        <is>
          <t>REQ-AUTH-004</t>
        </is>
      </c>
      <c r="B8" s="4" t="inlineStr">
        <is>
          <t>Auth</t>
        </is>
      </c>
      <c r="C8" s="4" t="inlineStr">
        <is>
          <t>Hỗ trợ remember-me và chỉ chuyển tiếp đến ReturnUrl nội bộ.</t>
        </is>
      </c>
      <c r="D8" s="4" t="inlineStr">
        <is>
          <t>TC-AUTH-007, TC-AUTH-008, TC-AUTH-009</t>
        </is>
      </c>
      <c r="E8" s="4">
        <f>COUNTIF('Test Cases'!$C:$C,A8)</f>
        <v/>
      </c>
      <c r="F8" s="4">
        <f>COUNTIFS('Test Cases'!$C:$C,A8,'Test Cases'!$L:$L,"Pass")</f>
        <v/>
      </c>
      <c r="G8" s="4">
        <f>COUNTIFS('Test Cases'!$C:$C,A8,'Test Cases'!$L:$L,"Fail")</f>
        <v/>
      </c>
      <c r="H8" s="4">
        <f>COUNTIFS('Test Cases'!$C:$C,A8,'Test Cases'!$L:$L,"Blocked")</f>
        <v/>
      </c>
      <c r="I8" s="4">
        <f>IF(E8=0,"Chưa bao phủ","Đã bao phủ")</f>
        <v/>
      </c>
      <c r="J8" s="4">
        <f>IF(E8=0,"No TC",IF(G8&gt;0,"Fail",IF(H8&gt;0,"Blocked",IF(F8=E8,"Pass","Chưa hoàn tất"))))</f>
        <v/>
      </c>
    </row>
    <row r="9">
      <c r="A9" s="4" t="inlineStr">
        <is>
          <t>REQ-AUTH-005</t>
        </is>
      </c>
      <c r="B9" s="4" t="inlineStr">
        <is>
          <t>Auth</t>
        </is>
      </c>
      <c r="C9" s="4" t="inlineStr">
        <is>
          <t>Đăng xuất phải hủy phiên xác thực và quay về trang đăng nhập.</t>
        </is>
      </c>
      <c r="D9" s="4" t="inlineStr">
        <is>
          <t>TC-AUTH-010</t>
        </is>
      </c>
      <c r="E9" s="4">
        <f>COUNTIF('Test Cases'!$C:$C,A9)</f>
        <v/>
      </c>
      <c r="F9" s="4">
        <f>COUNTIFS('Test Cases'!$C:$C,A9,'Test Cases'!$L:$L,"Pass")</f>
        <v/>
      </c>
      <c r="G9" s="4">
        <f>COUNTIFS('Test Cases'!$C:$C,A9,'Test Cases'!$L:$L,"Fail")</f>
        <v/>
      </c>
      <c r="H9" s="4">
        <f>COUNTIFS('Test Cases'!$C:$C,A9,'Test Cases'!$L:$L,"Blocked")</f>
        <v/>
      </c>
      <c r="I9" s="4">
        <f>IF(E9=0,"Chưa bao phủ","Đã bao phủ")</f>
        <v/>
      </c>
      <c r="J9" s="4">
        <f>IF(E9=0,"No TC",IF(G9&gt;0,"Fail",IF(H9&gt;0,"Blocked",IF(F9=E9,"Pass","Chưa hoàn tất"))))</f>
        <v/>
      </c>
    </row>
    <row r="10">
      <c r="A10" s="4" t="inlineStr">
        <is>
          <t>REQ-AUTH-006</t>
        </is>
      </c>
      <c r="B10" s="4" t="inlineStr">
        <is>
          <t>Auth</t>
        </is>
      </c>
      <c r="C10" s="4" t="inlineStr">
        <is>
          <t>Chỉ Admin và GiaoVu được truy cập các module quản trị.</t>
        </is>
      </c>
      <c r="D10" s="4" t="inlineStr">
        <is>
          <t>TC-AUTH-011</t>
        </is>
      </c>
      <c r="E10" s="4">
        <f>COUNTIF('Test Cases'!$C:$C,A10)</f>
        <v/>
      </c>
      <c r="F10" s="4">
        <f>COUNTIFS('Test Cases'!$C:$C,A10,'Test Cases'!$L:$L,"Pass")</f>
        <v/>
      </c>
      <c r="G10" s="4">
        <f>COUNTIFS('Test Cases'!$C:$C,A10,'Test Cases'!$L:$L,"Fail")</f>
        <v/>
      </c>
      <c r="H10" s="4">
        <f>COUNTIFS('Test Cases'!$C:$C,A10,'Test Cases'!$L:$L,"Blocked")</f>
        <v/>
      </c>
      <c r="I10" s="4">
        <f>IF(E10=0,"Chưa bao phủ","Đã bao phủ")</f>
        <v/>
      </c>
      <c r="J10" s="4">
        <f>IF(E10=0,"No TC",IF(G10&gt;0,"Fail",IF(H10&gt;0,"Blocked",IF(F10=E10,"Pass","Chưa hoàn tất"))))</f>
        <v/>
      </c>
    </row>
    <row r="11">
      <c r="A11" s="4" t="inlineStr">
        <is>
          <t>REQ-COURSE-001</t>
        </is>
      </c>
      <c r="B11" s="4" t="inlineStr">
        <is>
          <t>Course</t>
        </is>
      </c>
      <c r="C11" s="4" t="inlineStr">
        <is>
          <t>Danh sách khóa học hỗ trợ tìm kiếm và sắp xếp bản ghi mới trước.</t>
        </is>
      </c>
      <c r="D11" s="4" t="inlineStr">
        <is>
          <t>TC-COURSE-001, TC-COURSE-002, TC-COURSE-003</t>
        </is>
      </c>
      <c r="E11" s="4">
        <f>COUNTIF('Test Cases'!$C:$C,A11)</f>
        <v/>
      </c>
      <c r="F11" s="4">
        <f>COUNTIFS('Test Cases'!$C:$C,A11,'Test Cases'!$L:$L,"Pass")</f>
        <v/>
      </c>
      <c r="G11" s="4">
        <f>COUNTIFS('Test Cases'!$C:$C,A11,'Test Cases'!$L:$L,"Fail")</f>
        <v/>
      </c>
      <c r="H11" s="4">
        <f>COUNTIFS('Test Cases'!$C:$C,A11,'Test Cases'!$L:$L,"Blocked")</f>
        <v/>
      </c>
      <c r="I11" s="4">
        <f>IF(E11=0,"Chưa bao phủ","Đã bao phủ")</f>
        <v/>
      </c>
      <c r="J11" s="4">
        <f>IF(E11=0,"No TC",IF(G11&gt;0,"Fail",IF(H11&gt;0,"Blocked",IF(F11=E11,"Pass","Chưa hoàn tất"))))</f>
        <v/>
      </c>
    </row>
    <row r="12">
      <c r="A12" s="4" t="inlineStr">
        <is>
          <t>REQ-COURSE-002</t>
        </is>
      </c>
      <c r="B12" s="4" t="inlineStr">
        <is>
          <t>Course</t>
        </is>
      </c>
      <c r="C12" s="4" t="inlineStr">
        <is>
          <t>Danh sách khóa học phân trang 5 bản ghi mỗi trang.</t>
        </is>
      </c>
      <c r="D12" s="4" t="inlineStr">
        <is>
          <t>TC-COURSE-004</t>
        </is>
      </c>
      <c r="E12" s="4">
        <f>COUNTIF('Test Cases'!$C:$C,A12)</f>
        <v/>
      </c>
      <c r="F12" s="4">
        <f>COUNTIFS('Test Cases'!$C:$C,A12,'Test Cases'!$L:$L,"Pass")</f>
        <v/>
      </c>
      <c r="G12" s="4">
        <f>COUNTIFS('Test Cases'!$C:$C,A12,'Test Cases'!$L:$L,"Fail")</f>
        <v/>
      </c>
      <c r="H12" s="4">
        <f>COUNTIFS('Test Cases'!$C:$C,A12,'Test Cases'!$L:$L,"Blocked")</f>
        <v/>
      </c>
      <c r="I12" s="4">
        <f>IF(E12=0,"Chưa bao phủ","Đã bao phủ")</f>
        <v/>
      </c>
      <c r="J12" s="4">
        <f>IF(E12=0,"No TC",IF(G12&gt;0,"Fail",IF(H12&gt;0,"Blocked",IF(F12=E12,"Pass","Chưa hoàn tất"))))</f>
        <v/>
      </c>
    </row>
    <row r="13">
      <c r="A13" s="4" t="inlineStr">
        <is>
          <t>REQ-COURSE-003</t>
        </is>
      </c>
      <c r="B13" s="4" t="inlineStr">
        <is>
          <t>Course</t>
        </is>
      </c>
      <c r="C13" s="4" t="inlineStr">
        <is>
          <t>Xem được chi tiết khóa học và các lớp liên kết.</t>
        </is>
      </c>
      <c r="D13" s="4" t="inlineStr">
        <is>
          <t>TC-COURSE-005</t>
        </is>
      </c>
      <c r="E13" s="4">
        <f>COUNTIF('Test Cases'!$C:$C,A13)</f>
        <v/>
      </c>
      <c r="F13" s="4">
        <f>COUNTIFS('Test Cases'!$C:$C,A13,'Test Cases'!$L:$L,"Pass")</f>
        <v/>
      </c>
      <c r="G13" s="4">
        <f>COUNTIFS('Test Cases'!$C:$C,A13,'Test Cases'!$L:$L,"Fail")</f>
        <v/>
      </c>
      <c r="H13" s="4">
        <f>COUNTIFS('Test Cases'!$C:$C,A13,'Test Cases'!$L:$L,"Blocked")</f>
        <v/>
      </c>
      <c r="I13" s="4">
        <f>IF(E13=0,"Chưa bao phủ","Đã bao phủ")</f>
        <v/>
      </c>
      <c r="J13" s="4">
        <f>IF(E13=0,"No TC",IF(G13&gt;0,"Fail",IF(H13&gt;0,"Blocked",IF(F13=E13,"Pass","Chưa hoàn tất"))))</f>
        <v/>
      </c>
    </row>
    <row r="14">
      <c r="A14" s="4" t="inlineStr">
        <is>
          <t>REQ-COURSE-004</t>
        </is>
      </c>
      <c r="B14" s="4" t="inlineStr">
        <is>
          <t>Course</t>
        </is>
      </c>
      <c r="C14" s="4" t="inlineStr">
        <is>
          <t>Tạo khóa học hợp lệ; dùng ảnh mặc định khi không tải ảnh.</t>
        </is>
      </c>
      <c r="D14" s="4" t="inlineStr">
        <is>
          <t>TC-COURSE-006</t>
        </is>
      </c>
      <c r="E14" s="4">
        <f>COUNTIF('Test Cases'!$C:$C,A14)</f>
        <v/>
      </c>
      <c r="F14" s="4">
        <f>COUNTIFS('Test Cases'!$C:$C,A14,'Test Cases'!$L:$L,"Pass")</f>
        <v/>
      </c>
      <c r="G14" s="4">
        <f>COUNTIFS('Test Cases'!$C:$C,A14,'Test Cases'!$L:$L,"Fail")</f>
        <v/>
      </c>
      <c r="H14" s="4">
        <f>COUNTIFS('Test Cases'!$C:$C,A14,'Test Cases'!$L:$L,"Blocked")</f>
        <v/>
      </c>
      <c r="I14" s="4">
        <f>IF(E14=0,"Chưa bao phủ","Đã bao phủ")</f>
        <v/>
      </c>
      <c r="J14" s="4">
        <f>IF(E14=0,"No TC",IF(G14&gt;0,"Fail",IF(H14&gt;0,"Blocked",IF(F14=E14,"Pass","Chưa hoàn tất"))))</f>
        <v/>
      </c>
    </row>
    <row r="15">
      <c r="A15" s="4" t="inlineStr">
        <is>
          <t>REQ-COURSE-005</t>
        </is>
      </c>
      <c r="B15" s="4" t="inlineStr">
        <is>
          <t>Course</t>
        </is>
      </c>
      <c r="C15" s="4" t="inlineStr">
        <is>
          <t>Tải lên và thay thế ảnh bìa khóa học.</t>
        </is>
      </c>
      <c r="D15" s="4" t="inlineStr">
        <is>
          <t>TC-COURSE-007</t>
        </is>
      </c>
      <c r="E15" s="4">
        <f>COUNTIF('Test Cases'!$C:$C,A15)</f>
        <v/>
      </c>
      <c r="F15" s="4">
        <f>COUNTIFS('Test Cases'!$C:$C,A15,'Test Cases'!$L:$L,"Pass")</f>
        <v/>
      </c>
      <c r="G15" s="4">
        <f>COUNTIFS('Test Cases'!$C:$C,A15,'Test Cases'!$L:$L,"Fail")</f>
        <v/>
      </c>
      <c r="H15" s="4">
        <f>COUNTIFS('Test Cases'!$C:$C,A15,'Test Cases'!$L:$L,"Blocked")</f>
        <v/>
      </c>
      <c r="I15" s="4">
        <f>IF(E15=0,"Chưa bao phủ","Đã bao phủ")</f>
        <v/>
      </c>
      <c r="J15" s="4">
        <f>IF(E15=0,"No TC",IF(G15&gt;0,"Fail",IF(H15&gt;0,"Blocked",IF(F15=E15,"Pass","Chưa hoàn tất"))))</f>
        <v/>
      </c>
    </row>
    <row r="16">
      <c r="A16" s="4" t="inlineStr">
        <is>
          <t>REQ-COURSE-006</t>
        </is>
      </c>
      <c r="B16" s="4" t="inlineStr">
        <is>
          <t>Course</t>
        </is>
      </c>
      <c r="C16" s="4" t="inlineStr">
        <is>
          <t>Kiểm tra tên, học phí, tổng số buổi và mô tả theo giới hạn model.</t>
        </is>
      </c>
      <c r="D16" s="4" t="inlineStr">
        <is>
          <t>TC-COURSE-008, TC-COURSE-009, TC-COURSE-010, TC-COURSE-011</t>
        </is>
      </c>
      <c r="E16" s="4">
        <f>COUNTIF('Test Cases'!$C:$C,A16)</f>
        <v/>
      </c>
      <c r="F16" s="4">
        <f>COUNTIFS('Test Cases'!$C:$C,A16,'Test Cases'!$L:$L,"Pass")</f>
        <v/>
      </c>
      <c r="G16" s="4">
        <f>COUNTIFS('Test Cases'!$C:$C,A16,'Test Cases'!$L:$L,"Fail")</f>
        <v/>
      </c>
      <c r="H16" s="4">
        <f>COUNTIFS('Test Cases'!$C:$C,A16,'Test Cases'!$L:$L,"Blocked")</f>
        <v/>
      </c>
      <c r="I16" s="4">
        <f>IF(E16=0,"Chưa bao phủ","Đã bao phủ")</f>
        <v/>
      </c>
      <c r="J16" s="4">
        <f>IF(E16=0,"No TC",IF(G16&gt;0,"Fail",IF(H16&gt;0,"Blocked",IF(F16=E16,"Pass","Chưa hoàn tất"))))</f>
        <v/>
      </c>
    </row>
    <row r="17">
      <c r="A17" s="4" t="inlineStr">
        <is>
          <t>REQ-COURSE-007</t>
        </is>
      </c>
      <c r="B17" s="4" t="inlineStr">
        <is>
          <t>Course</t>
        </is>
      </c>
      <c r="C17" s="4" t="inlineStr">
        <is>
          <t>Cập nhật khóa học và giữ ảnh cũ khi không chọn ảnh mới.</t>
        </is>
      </c>
      <c r="D17" s="4" t="inlineStr">
        <is>
          <t>TC-COURSE-012</t>
        </is>
      </c>
      <c r="E17" s="4">
        <f>COUNTIF('Test Cases'!$C:$C,A17)</f>
        <v/>
      </c>
      <c r="F17" s="4">
        <f>COUNTIFS('Test Cases'!$C:$C,A17,'Test Cases'!$L:$L,"Pass")</f>
        <v/>
      </c>
      <c r="G17" s="4">
        <f>COUNTIFS('Test Cases'!$C:$C,A17,'Test Cases'!$L:$L,"Fail")</f>
        <v/>
      </c>
      <c r="H17" s="4">
        <f>COUNTIFS('Test Cases'!$C:$C,A17,'Test Cases'!$L:$L,"Blocked")</f>
        <v/>
      </c>
      <c r="I17" s="4">
        <f>IF(E17=0,"Chưa bao phủ","Đã bao phủ")</f>
        <v/>
      </c>
      <c r="J17" s="4">
        <f>IF(E17=0,"No TC",IF(G17&gt;0,"Fail",IF(H17&gt;0,"Blocked",IF(F17=E17,"Pass","Chưa hoàn tất"))))</f>
        <v/>
      </c>
    </row>
    <row r="18">
      <c r="A18" s="4" t="inlineStr">
        <is>
          <t>REQ-COURSE-008</t>
        </is>
      </c>
      <c r="B18" s="4" t="inlineStr">
        <is>
          <t>Course</t>
        </is>
      </c>
      <c r="C18" s="4" t="inlineStr">
        <is>
          <t>Chỉ xóa khóa học chưa có lớp liên kết.</t>
        </is>
      </c>
      <c r="D18" s="4" t="inlineStr">
        <is>
          <t>TC-COURSE-013, TC-COURSE-014</t>
        </is>
      </c>
      <c r="E18" s="4">
        <f>COUNTIF('Test Cases'!$C:$C,A18)</f>
        <v/>
      </c>
      <c r="F18" s="4">
        <f>COUNTIFS('Test Cases'!$C:$C,A18,'Test Cases'!$L:$L,"Pass")</f>
        <v/>
      </c>
      <c r="G18" s="4">
        <f>COUNTIFS('Test Cases'!$C:$C,A18,'Test Cases'!$L:$L,"Fail")</f>
        <v/>
      </c>
      <c r="H18" s="4">
        <f>COUNTIFS('Test Cases'!$C:$C,A18,'Test Cases'!$L:$L,"Blocked")</f>
        <v/>
      </c>
      <c r="I18" s="4">
        <f>IF(E18=0,"Chưa bao phủ","Đã bao phủ")</f>
        <v/>
      </c>
      <c r="J18" s="4">
        <f>IF(E18=0,"No TC",IF(G18&gt;0,"Fail",IF(H18&gt;0,"Blocked",IF(F18=E18,"Pass","Chưa hoàn tất"))))</f>
        <v/>
      </c>
    </row>
    <row r="19">
      <c r="A19" s="4" t="inlineStr">
        <is>
          <t>REQ-CLASS-001</t>
        </is>
      </c>
      <c r="B19" s="4" t="inlineStr">
        <is>
          <t>Class</t>
        </is>
      </c>
      <c r="C19" s="4" t="inlineStr">
        <is>
          <t>Danh sách lớp hỗ trợ tìm theo mã, tên lớp hoặc giảng viên.</t>
        </is>
      </c>
      <c r="D19" s="4" t="inlineStr">
        <is>
          <t>TC-CLASS-001, TC-CLASS-002</t>
        </is>
      </c>
      <c r="E19" s="4">
        <f>COUNTIF('Test Cases'!$C:$C,A19)</f>
        <v/>
      </c>
      <c r="F19" s="4">
        <f>COUNTIFS('Test Cases'!$C:$C,A19,'Test Cases'!$L:$L,"Pass")</f>
        <v/>
      </c>
      <c r="G19" s="4">
        <f>COUNTIFS('Test Cases'!$C:$C,A19,'Test Cases'!$L:$L,"Fail")</f>
        <v/>
      </c>
      <c r="H19" s="4">
        <f>COUNTIFS('Test Cases'!$C:$C,A19,'Test Cases'!$L:$L,"Blocked")</f>
        <v/>
      </c>
      <c r="I19" s="4">
        <f>IF(E19=0,"Chưa bao phủ","Đã bao phủ")</f>
        <v/>
      </c>
      <c r="J19" s="4">
        <f>IF(E19=0,"No TC",IF(G19&gt;0,"Fail",IF(H19&gt;0,"Blocked",IF(F19=E19,"Pass","Chưa hoàn tất"))))</f>
        <v/>
      </c>
    </row>
    <row r="20">
      <c r="A20" s="4" t="inlineStr">
        <is>
          <t>REQ-CLASS-002</t>
        </is>
      </c>
      <c r="B20" s="4" t="inlineStr">
        <is>
          <t>Class</t>
        </is>
      </c>
      <c r="C20" s="4" t="inlineStr">
        <is>
          <t>Danh sách lớp hỗ trợ lọc khóa học và phân trang 5 bản ghi.</t>
        </is>
      </c>
      <c r="D20" s="4" t="inlineStr">
        <is>
          <t>TC-CLASS-003, TC-CLASS-004, TC-CLASS-005</t>
        </is>
      </c>
      <c r="E20" s="4">
        <f>COUNTIF('Test Cases'!$C:$C,A20)</f>
        <v/>
      </c>
      <c r="F20" s="4">
        <f>COUNTIFS('Test Cases'!$C:$C,A20,'Test Cases'!$L:$L,"Pass")</f>
        <v/>
      </c>
      <c r="G20" s="4">
        <f>COUNTIFS('Test Cases'!$C:$C,A20,'Test Cases'!$L:$L,"Fail")</f>
        <v/>
      </c>
      <c r="H20" s="4">
        <f>COUNTIFS('Test Cases'!$C:$C,A20,'Test Cases'!$L:$L,"Blocked")</f>
        <v/>
      </c>
      <c r="I20" s="4">
        <f>IF(E20=0,"Chưa bao phủ","Đã bao phủ")</f>
        <v/>
      </c>
      <c r="J20" s="4">
        <f>IF(E20=0,"No TC",IF(G20&gt;0,"Fail",IF(H20&gt;0,"Blocked",IF(F20=E20,"Pass","Chưa hoàn tất"))))</f>
        <v/>
      </c>
    </row>
    <row r="21">
      <c r="A21" s="4" t="inlineStr">
        <is>
          <t>REQ-CLASS-003</t>
        </is>
      </c>
      <c r="B21" s="4" t="inlineStr">
        <is>
          <t>Class</t>
        </is>
      </c>
      <c r="C21" s="4" t="inlineStr">
        <is>
          <t>Chi tiết lớp hiển thị khóa học và danh sách ghi danh.</t>
        </is>
      </c>
      <c r="D21" s="4" t="inlineStr">
        <is>
          <t>TC-CLASS-006</t>
        </is>
      </c>
      <c r="E21" s="4">
        <f>COUNTIF('Test Cases'!$C:$C,A21)</f>
        <v/>
      </c>
      <c r="F21" s="4">
        <f>COUNTIFS('Test Cases'!$C:$C,A21,'Test Cases'!$L:$L,"Pass")</f>
        <v/>
      </c>
      <c r="G21" s="4">
        <f>COUNTIFS('Test Cases'!$C:$C,A21,'Test Cases'!$L:$L,"Fail")</f>
        <v/>
      </c>
      <c r="H21" s="4">
        <f>COUNTIFS('Test Cases'!$C:$C,A21,'Test Cases'!$L:$L,"Blocked")</f>
        <v/>
      </c>
      <c r="I21" s="4">
        <f>IF(E21=0,"Chưa bao phủ","Đã bao phủ")</f>
        <v/>
      </c>
      <c r="J21" s="4">
        <f>IF(E21=0,"No TC",IF(G21&gt;0,"Fail",IF(H21&gt;0,"Blocked",IF(F21=E21,"Pass","Chưa hoàn tất"))))</f>
        <v/>
      </c>
    </row>
    <row r="22">
      <c r="A22" s="4" t="inlineStr">
        <is>
          <t>REQ-CLASS-004</t>
        </is>
      </c>
      <c r="B22" s="4" t="inlineStr">
        <is>
          <t>Class</t>
        </is>
      </c>
      <c r="C22" s="4" t="inlineStr">
        <is>
          <t>Tạo lớp hợp lệ và chỉ chọn khóa học đang hoạt động.</t>
        </is>
      </c>
      <c r="D22" s="4" t="inlineStr">
        <is>
          <t>TC-CLASS-007, TC-CLASS-012</t>
        </is>
      </c>
      <c r="E22" s="4">
        <f>COUNTIF('Test Cases'!$C:$C,A22)</f>
        <v/>
      </c>
      <c r="F22" s="4">
        <f>COUNTIFS('Test Cases'!$C:$C,A22,'Test Cases'!$L:$L,"Pass")</f>
        <v/>
      </c>
      <c r="G22" s="4">
        <f>COUNTIFS('Test Cases'!$C:$C,A22,'Test Cases'!$L:$L,"Fail")</f>
        <v/>
      </c>
      <c r="H22" s="4">
        <f>COUNTIFS('Test Cases'!$C:$C,A22,'Test Cases'!$L:$L,"Blocked")</f>
        <v/>
      </c>
      <c r="I22" s="4">
        <f>IF(E22=0,"Chưa bao phủ","Đã bao phủ")</f>
        <v/>
      </c>
      <c r="J22" s="4">
        <f>IF(E22=0,"No TC",IF(G22&gt;0,"Fail",IF(H22&gt;0,"Blocked",IF(F22=E22,"Pass","Chưa hoàn tất"))))</f>
        <v/>
      </c>
    </row>
    <row r="23">
      <c r="A23" s="4" t="inlineStr">
        <is>
          <t>REQ-CLASS-005</t>
        </is>
      </c>
      <c r="B23" s="4" t="inlineStr">
        <is>
          <t>Class</t>
        </is>
      </c>
      <c r="C23" s="4" t="inlineStr">
        <is>
          <t>Không cho phép tạo lớp có ClassCode trùng.</t>
        </is>
      </c>
      <c r="D23" s="4" t="inlineStr">
        <is>
          <t>TC-CLASS-008</t>
        </is>
      </c>
      <c r="E23" s="4">
        <f>COUNTIF('Test Cases'!$C:$C,A23)</f>
        <v/>
      </c>
      <c r="F23" s="4">
        <f>COUNTIFS('Test Cases'!$C:$C,A23,'Test Cases'!$L:$L,"Pass")</f>
        <v/>
      </c>
      <c r="G23" s="4">
        <f>COUNTIFS('Test Cases'!$C:$C,A23,'Test Cases'!$L:$L,"Fail")</f>
        <v/>
      </c>
      <c r="H23" s="4">
        <f>COUNTIFS('Test Cases'!$C:$C,A23,'Test Cases'!$L:$L,"Blocked")</f>
        <v/>
      </c>
      <c r="I23" s="4">
        <f>IF(E23=0,"Chưa bao phủ","Đã bao phủ")</f>
        <v/>
      </c>
      <c r="J23" s="4">
        <f>IF(E23=0,"No TC",IF(G23&gt;0,"Fail",IF(H23&gt;0,"Blocked",IF(F23=E23,"Pass","Chưa hoàn tất"))))</f>
        <v/>
      </c>
    </row>
    <row r="24">
      <c r="A24" s="4" t="inlineStr">
        <is>
          <t>REQ-CLASS-006</t>
        </is>
      </c>
      <c r="B24" s="4" t="inlineStr">
        <is>
          <t>Class</t>
        </is>
      </c>
      <c r="C24" s="4" t="inlineStr">
        <is>
          <t>Kiểm tra trường bắt buộc, độ dài và sĩ số 1-100.</t>
        </is>
      </c>
      <c r="D24" s="4" t="inlineStr">
        <is>
          <t>TC-CLASS-009, TC-CLASS-010, TC-CLASS-011</t>
        </is>
      </c>
      <c r="E24" s="4">
        <f>COUNTIF('Test Cases'!$C:$C,A24)</f>
        <v/>
      </c>
      <c r="F24" s="4">
        <f>COUNTIFS('Test Cases'!$C:$C,A24,'Test Cases'!$L:$L,"Pass")</f>
        <v/>
      </c>
      <c r="G24" s="4">
        <f>COUNTIFS('Test Cases'!$C:$C,A24,'Test Cases'!$L:$L,"Fail")</f>
        <v/>
      </c>
      <c r="H24" s="4">
        <f>COUNTIFS('Test Cases'!$C:$C,A24,'Test Cases'!$L:$L,"Blocked")</f>
        <v/>
      </c>
      <c r="I24" s="4">
        <f>IF(E24=0,"Chưa bao phủ","Đã bao phủ")</f>
        <v/>
      </c>
      <c r="J24" s="4">
        <f>IF(E24=0,"No TC",IF(G24&gt;0,"Fail",IF(H24&gt;0,"Blocked",IF(F24=E24,"Pass","Chưa hoàn tất"))))</f>
        <v/>
      </c>
    </row>
    <row r="25">
      <c r="A25" s="4" t="inlineStr">
        <is>
          <t>REQ-CLASS-007</t>
        </is>
      </c>
      <c r="B25" s="4" t="inlineStr">
        <is>
          <t>Class</t>
        </is>
      </c>
      <c r="C25" s="4" t="inlineStr">
        <is>
          <t>Cập nhật thông tin lớp hợp lệ.</t>
        </is>
      </c>
      <c r="D25" s="4" t="inlineStr">
        <is>
          <t>TC-CLASS-013</t>
        </is>
      </c>
      <c r="E25" s="4">
        <f>COUNTIF('Test Cases'!$C:$C,A25)</f>
        <v/>
      </c>
      <c r="F25" s="4">
        <f>COUNTIFS('Test Cases'!$C:$C,A25,'Test Cases'!$L:$L,"Pass")</f>
        <v/>
      </c>
      <c r="G25" s="4">
        <f>COUNTIFS('Test Cases'!$C:$C,A25,'Test Cases'!$L:$L,"Fail")</f>
        <v/>
      </c>
      <c r="H25" s="4">
        <f>COUNTIFS('Test Cases'!$C:$C,A25,'Test Cases'!$L:$L,"Blocked")</f>
        <v/>
      </c>
      <c r="I25" s="4">
        <f>IF(E25=0,"Chưa bao phủ","Đã bao phủ")</f>
        <v/>
      </c>
      <c r="J25" s="4">
        <f>IF(E25=0,"No TC",IF(G25&gt;0,"Fail",IF(H25&gt;0,"Blocked",IF(F25=E25,"Pass","Chưa hoàn tất"))))</f>
        <v/>
      </c>
    </row>
    <row r="26">
      <c r="A26" s="4" t="inlineStr">
        <is>
          <t>REQ-CLASS-008</t>
        </is>
      </c>
      <c r="B26" s="4" t="inlineStr">
        <is>
          <t>Class</t>
        </is>
      </c>
      <c r="C26" s="4" t="inlineStr">
        <is>
          <t>Chỉ xóa lớp chưa có học viên ghi danh.</t>
        </is>
      </c>
      <c r="D26" s="4" t="inlineStr">
        <is>
          <t>TC-CLASS-014</t>
        </is>
      </c>
      <c r="E26" s="4">
        <f>COUNTIF('Test Cases'!$C:$C,A26)</f>
        <v/>
      </c>
      <c r="F26" s="4">
        <f>COUNTIFS('Test Cases'!$C:$C,A26,'Test Cases'!$L:$L,"Pass")</f>
        <v/>
      </c>
      <c r="G26" s="4">
        <f>COUNTIFS('Test Cases'!$C:$C,A26,'Test Cases'!$L:$L,"Fail")</f>
        <v/>
      </c>
      <c r="H26" s="4">
        <f>COUNTIFS('Test Cases'!$C:$C,A26,'Test Cases'!$L:$L,"Blocked")</f>
        <v/>
      </c>
      <c r="I26" s="4">
        <f>IF(E26=0,"Chưa bao phủ","Đã bao phủ")</f>
        <v/>
      </c>
      <c r="J26" s="4">
        <f>IF(E26=0,"No TC",IF(G26&gt;0,"Fail",IF(H26&gt;0,"Blocked",IF(F26=E26,"Pass","Chưa hoàn tất"))))</f>
        <v/>
      </c>
    </row>
    <row r="27">
      <c r="A27" s="4" t="inlineStr">
        <is>
          <t>REQ-ENR-001</t>
        </is>
      </c>
      <c r="B27" s="4" t="inlineStr">
        <is>
          <t>Enrollment</t>
        </is>
      </c>
      <c r="C27" s="4" t="inlineStr">
        <is>
          <t>Danh sách ghi danh hỗ trợ tìm kiếm, lọc và phân trang 5 bản ghi.</t>
        </is>
      </c>
      <c r="D27" s="4" t="inlineStr">
        <is>
          <t>TC-ENROLLMENT-001, TC-ENROLLMENT-002, TC-ENROLLMENT-003, TC-ENROLLMENT-004, TC-ENROLLMENT-005, TC-ENROLLMENT-006</t>
        </is>
      </c>
      <c r="E27" s="4">
        <f>COUNTIF('Test Cases'!$C:$C,A27)</f>
        <v/>
      </c>
      <c r="F27" s="4">
        <f>COUNTIFS('Test Cases'!$C:$C,A27,'Test Cases'!$L:$L,"Pass")</f>
        <v/>
      </c>
      <c r="G27" s="4">
        <f>COUNTIFS('Test Cases'!$C:$C,A27,'Test Cases'!$L:$L,"Fail")</f>
        <v/>
      </c>
      <c r="H27" s="4">
        <f>COUNTIFS('Test Cases'!$C:$C,A27,'Test Cases'!$L:$L,"Blocked")</f>
        <v/>
      </c>
      <c r="I27" s="4">
        <f>IF(E27=0,"Chưa bao phủ","Đã bao phủ")</f>
        <v/>
      </c>
      <c r="J27" s="4">
        <f>IF(E27=0,"No TC",IF(G27&gt;0,"Fail",IF(H27&gt;0,"Blocked",IF(F27=E27,"Pass","Chưa hoàn tất"))))</f>
        <v/>
      </c>
    </row>
    <row r="28">
      <c r="A28" s="4" t="inlineStr">
        <is>
          <t>REQ-ENR-002</t>
        </is>
      </c>
      <c r="B28" s="4" t="inlineStr">
        <is>
          <t>Enrollment</t>
        </is>
      </c>
      <c r="C28" s="4" t="inlineStr">
        <is>
          <t>Chi tiết ghi danh hiển thị học viên, lớp, học phí, điểm danh và điểm.</t>
        </is>
      </c>
      <c r="D28" s="4" t="inlineStr">
        <is>
          <t>TC-ENROLLMENT-007</t>
        </is>
      </c>
      <c r="E28" s="4">
        <f>COUNTIF('Test Cases'!$C:$C,A28)</f>
        <v/>
      </c>
      <c r="F28" s="4">
        <f>COUNTIFS('Test Cases'!$C:$C,A28,'Test Cases'!$L:$L,"Pass")</f>
        <v/>
      </c>
      <c r="G28" s="4">
        <f>COUNTIFS('Test Cases'!$C:$C,A28,'Test Cases'!$L:$L,"Fail")</f>
        <v/>
      </c>
      <c r="H28" s="4">
        <f>COUNTIFS('Test Cases'!$C:$C,A28,'Test Cases'!$L:$L,"Blocked")</f>
        <v/>
      </c>
      <c r="I28" s="4">
        <f>IF(E28=0,"Chưa bao phủ","Đã bao phủ")</f>
        <v/>
      </c>
      <c r="J28" s="4">
        <f>IF(E28=0,"No TC",IF(G28&gt;0,"Fail",IF(H28&gt;0,"Blocked",IF(F28=E28,"Pass","Chưa hoàn tất"))))</f>
        <v/>
      </c>
    </row>
    <row r="29">
      <c r="A29" s="4" t="inlineStr">
        <is>
          <t>REQ-ENR-003</t>
        </is>
      </c>
      <c r="B29" s="4" t="inlineStr">
        <is>
          <t>Enrollment</t>
        </is>
      </c>
      <c r="C29" s="4" t="inlineStr">
        <is>
          <t>Tạo ghi danh hợp lệ với giá trị mặc định phù hợp.</t>
        </is>
      </c>
      <c r="D29" s="4" t="inlineStr">
        <is>
          <t>TC-ENROLLMENT-008</t>
        </is>
      </c>
      <c r="E29" s="4">
        <f>COUNTIF('Test Cases'!$C:$C,A29)</f>
        <v/>
      </c>
      <c r="F29" s="4">
        <f>COUNTIFS('Test Cases'!$C:$C,A29,'Test Cases'!$L:$L,"Pass")</f>
        <v/>
      </c>
      <c r="G29" s="4">
        <f>COUNTIFS('Test Cases'!$C:$C,A29,'Test Cases'!$L:$L,"Fail")</f>
        <v/>
      </c>
      <c r="H29" s="4">
        <f>COUNTIFS('Test Cases'!$C:$C,A29,'Test Cases'!$L:$L,"Blocked")</f>
        <v/>
      </c>
      <c r="I29" s="4">
        <f>IF(E29=0,"Chưa bao phủ","Đã bao phủ")</f>
        <v/>
      </c>
      <c r="J29" s="4">
        <f>IF(E29=0,"No TC",IF(G29&gt;0,"Fail",IF(H29&gt;0,"Blocked",IF(F29=E29,"Pass","Chưa hoàn tất"))))</f>
        <v/>
      </c>
    </row>
    <row r="30">
      <c r="A30" s="4" t="inlineStr">
        <is>
          <t>REQ-ENR-004</t>
        </is>
      </c>
      <c r="B30" s="4" t="inlineStr">
        <is>
          <t>Enrollment</t>
        </is>
      </c>
      <c r="C30" s="4" t="inlineStr">
        <is>
          <t>Khi chọn lớp, hệ thống lấy học phí chuẩn của khóa học.</t>
        </is>
      </c>
      <c r="D30" s="4" t="inlineStr">
        <is>
          <t>TC-ENROLLMENT-009</t>
        </is>
      </c>
      <c r="E30" s="4">
        <f>COUNTIF('Test Cases'!$C:$C,A30)</f>
        <v/>
      </c>
      <c r="F30" s="4">
        <f>COUNTIFS('Test Cases'!$C:$C,A30,'Test Cases'!$L:$L,"Pass")</f>
        <v/>
      </c>
      <c r="G30" s="4">
        <f>COUNTIFS('Test Cases'!$C:$C,A30,'Test Cases'!$L:$L,"Fail")</f>
        <v/>
      </c>
      <c r="H30" s="4">
        <f>COUNTIFS('Test Cases'!$C:$C,A30,'Test Cases'!$L:$L,"Blocked")</f>
        <v/>
      </c>
      <c r="I30" s="4">
        <f>IF(E30=0,"Chưa bao phủ","Đã bao phủ")</f>
        <v/>
      </c>
      <c r="J30" s="4">
        <f>IF(E30=0,"No TC",IF(G30&gt;0,"Fail",IF(H30&gt;0,"Blocked",IF(F30=E30,"Pass","Chưa hoàn tất"))))</f>
        <v/>
      </c>
    </row>
    <row r="31">
      <c r="A31" s="4" t="inlineStr">
        <is>
          <t>REQ-ENR-005</t>
        </is>
      </c>
      <c r="B31" s="4" t="inlineStr">
        <is>
          <t>Enrollment</t>
        </is>
      </c>
      <c r="C31" s="4" t="inlineStr">
        <is>
          <t>Không ghi danh trùng học viên trong cùng một lớp.</t>
        </is>
      </c>
      <c r="D31" s="4" t="inlineStr">
        <is>
          <t>TC-ENROLLMENT-010</t>
        </is>
      </c>
      <c r="E31" s="4">
        <f>COUNTIF('Test Cases'!$C:$C,A31)</f>
        <v/>
      </c>
      <c r="F31" s="4">
        <f>COUNTIFS('Test Cases'!$C:$C,A31,'Test Cases'!$L:$L,"Pass")</f>
        <v/>
      </c>
      <c r="G31" s="4">
        <f>COUNTIFS('Test Cases'!$C:$C,A31,'Test Cases'!$L:$L,"Fail")</f>
        <v/>
      </c>
      <c r="H31" s="4">
        <f>COUNTIFS('Test Cases'!$C:$C,A31,'Test Cases'!$L:$L,"Blocked")</f>
        <v/>
      </c>
      <c r="I31" s="4">
        <f>IF(E31=0,"Chưa bao phủ","Đã bao phủ")</f>
        <v/>
      </c>
      <c r="J31" s="4">
        <f>IF(E31=0,"No TC",IF(G31&gt;0,"Fail",IF(H31&gt;0,"Blocked",IF(F31=E31,"Pass","Chưa hoàn tất"))))</f>
        <v/>
      </c>
    </row>
    <row r="32">
      <c r="A32" s="4" t="inlineStr">
        <is>
          <t>REQ-ENR-006</t>
        </is>
      </c>
      <c r="B32" s="4" t="inlineStr">
        <is>
          <t>Enrollment</t>
        </is>
      </c>
      <c r="C32" s="4" t="inlineStr">
        <is>
          <t>Không ghi danh vượt quá sĩ số tối đa của lớp.</t>
        </is>
      </c>
      <c r="D32" s="4" t="inlineStr">
        <is>
          <t>TC-ENROLLMENT-011</t>
        </is>
      </c>
      <c r="E32" s="4">
        <f>COUNTIF('Test Cases'!$C:$C,A32)</f>
        <v/>
      </c>
      <c r="F32" s="4">
        <f>COUNTIFS('Test Cases'!$C:$C,A32,'Test Cases'!$L:$L,"Pass")</f>
        <v/>
      </c>
      <c r="G32" s="4">
        <f>COUNTIFS('Test Cases'!$C:$C,A32,'Test Cases'!$L:$L,"Fail")</f>
        <v/>
      </c>
      <c r="H32" s="4">
        <f>COUNTIFS('Test Cases'!$C:$C,A32,'Test Cases'!$L:$L,"Blocked")</f>
        <v/>
      </c>
      <c r="I32" s="4">
        <f>IF(E32=0,"Chưa bao phủ","Đã bao phủ")</f>
        <v/>
      </c>
      <c r="J32" s="4">
        <f>IF(E32=0,"No TC",IF(G32&gt;0,"Fail",IF(H32&gt;0,"Blocked",IF(F32=E32,"Pass","Chưa hoàn tất"))))</f>
        <v/>
      </c>
    </row>
    <row r="33">
      <c r="A33" s="4" t="inlineStr">
        <is>
          <t>REQ-ENR-007</t>
        </is>
      </c>
      <c r="B33" s="4" t="inlineStr">
        <is>
          <t>Enrollment</t>
        </is>
      </c>
      <c r="C33" s="4" t="inlineStr">
        <is>
          <t>Tự động tính DaNopDu hoặc ConNo từ ActualFee và PaidAmount.</t>
        </is>
      </c>
      <c r="D33" s="4" t="inlineStr">
        <is>
          <t>TC-ENROLLMENT-012, TC-ENROLLMENT-013, TC-ENROLLMENT-014</t>
        </is>
      </c>
      <c r="E33" s="4">
        <f>COUNTIF('Test Cases'!$C:$C,A33)</f>
        <v/>
      </c>
      <c r="F33" s="4">
        <f>COUNTIFS('Test Cases'!$C:$C,A33,'Test Cases'!$L:$L,"Pass")</f>
        <v/>
      </c>
      <c r="G33" s="4">
        <f>COUNTIFS('Test Cases'!$C:$C,A33,'Test Cases'!$L:$L,"Fail")</f>
        <v/>
      </c>
      <c r="H33" s="4">
        <f>COUNTIFS('Test Cases'!$C:$C,A33,'Test Cases'!$L:$L,"Blocked")</f>
        <v/>
      </c>
      <c r="I33" s="4">
        <f>IF(E33=0,"Chưa bao phủ","Đã bao phủ")</f>
        <v/>
      </c>
      <c r="J33" s="4">
        <f>IF(E33=0,"No TC",IF(G33&gt;0,"Fail",IF(H33&gt;0,"Blocked",IF(F33=E33,"Pass","Chưa hoàn tất"))))</f>
        <v/>
      </c>
    </row>
    <row r="34">
      <c r="A34" s="4" t="inlineStr">
        <is>
          <t>REQ-ENR-008</t>
        </is>
      </c>
      <c r="B34" s="4" t="inlineStr">
        <is>
          <t>Enrollment</t>
        </is>
      </c>
      <c r="C34" s="4" t="inlineStr">
        <is>
          <t>Học phí thực tế và số tiền đã nộp nằm trong khoảng 0-100.000.000.</t>
        </is>
      </c>
      <c r="D34" s="4" t="inlineStr">
        <is>
          <t>TC-ENROLLMENT-015</t>
        </is>
      </c>
      <c r="E34" s="4">
        <f>COUNTIF('Test Cases'!$C:$C,A34)</f>
        <v/>
      </c>
      <c r="F34" s="4">
        <f>COUNTIFS('Test Cases'!$C:$C,A34,'Test Cases'!$L:$L,"Pass")</f>
        <v/>
      </c>
      <c r="G34" s="4">
        <f>COUNTIFS('Test Cases'!$C:$C,A34,'Test Cases'!$L:$L,"Fail")</f>
        <v/>
      </c>
      <c r="H34" s="4">
        <f>COUNTIFS('Test Cases'!$C:$C,A34,'Test Cases'!$L:$L,"Blocked")</f>
        <v/>
      </c>
      <c r="I34" s="4">
        <f>IF(E34=0,"Chưa bao phủ","Đã bao phủ")</f>
        <v/>
      </c>
      <c r="J34" s="4">
        <f>IF(E34=0,"No TC",IF(G34&gt;0,"Fail",IF(H34&gt;0,"Blocked",IF(F34=E34,"Pass","Chưa hoàn tất"))))</f>
        <v/>
      </c>
    </row>
    <row r="35">
      <c r="A35" s="4" t="inlineStr">
        <is>
          <t>REQ-ENR-009</t>
        </is>
      </c>
      <c r="B35" s="4" t="inlineStr">
        <is>
          <t>Enrollment</t>
        </is>
      </c>
      <c r="C35" s="4" t="inlineStr">
        <is>
          <t>Cập nhật trạng thái học tập và thông tin ghi danh.</t>
        </is>
      </c>
      <c r="D35" s="4" t="inlineStr">
        <is>
          <t>TC-ENROLLMENT-016</t>
        </is>
      </c>
      <c r="E35" s="4">
        <f>COUNTIF('Test Cases'!$C:$C,A35)</f>
        <v/>
      </c>
      <c r="F35" s="4">
        <f>COUNTIFS('Test Cases'!$C:$C,A35,'Test Cases'!$L:$L,"Pass")</f>
        <v/>
      </c>
      <c r="G35" s="4">
        <f>COUNTIFS('Test Cases'!$C:$C,A35,'Test Cases'!$L:$L,"Fail")</f>
        <v/>
      </c>
      <c r="H35" s="4">
        <f>COUNTIFS('Test Cases'!$C:$C,A35,'Test Cases'!$L:$L,"Blocked")</f>
        <v/>
      </c>
      <c r="I35" s="4">
        <f>IF(E35=0,"Chưa bao phủ","Đã bao phủ")</f>
        <v/>
      </c>
      <c r="J35" s="4">
        <f>IF(E35=0,"No TC",IF(G35&gt;0,"Fail",IF(H35&gt;0,"Blocked",IF(F35=E35,"Pass","Chưa hoàn tất"))))</f>
        <v/>
      </c>
    </row>
    <row r="36">
      <c r="A36" s="4" t="inlineStr">
        <is>
          <t>REQ-ENR-010</t>
        </is>
      </c>
      <c r="B36" s="4" t="inlineStr">
        <is>
          <t>Enrollment</t>
        </is>
      </c>
      <c r="C36" s="4" t="inlineStr">
        <is>
          <t>Chỉ xóa ghi danh chưa có điểm danh hoặc điểm số.</t>
        </is>
      </c>
      <c r="D36" s="4" t="inlineStr">
        <is>
          <t>TC-ENROLLMENT-017, TC-ENROLLMENT-018</t>
        </is>
      </c>
      <c r="E36" s="4">
        <f>COUNTIF('Test Cases'!$C:$C,A36)</f>
        <v/>
      </c>
      <c r="F36" s="4">
        <f>COUNTIFS('Test Cases'!$C:$C,A36,'Test Cases'!$L:$L,"Pass")</f>
        <v/>
      </c>
      <c r="G36" s="4">
        <f>COUNTIFS('Test Cases'!$C:$C,A36,'Test Cases'!$L:$L,"Fail")</f>
        <v/>
      </c>
      <c r="H36" s="4">
        <f>COUNTIFS('Test Cases'!$C:$C,A36,'Test Cases'!$L:$L,"Blocked")</f>
        <v/>
      </c>
      <c r="I36" s="4">
        <f>IF(E36=0,"Chưa bao phủ","Đã bao phủ")</f>
        <v/>
      </c>
      <c r="J36" s="4">
        <f>IF(E36=0,"No TC",IF(G36&gt;0,"Fail",IF(H36&gt;0,"Blocked",IF(F36=E36,"Pass","Chưa hoàn tất"))))</f>
        <v/>
      </c>
    </row>
    <row r="37">
      <c r="A37" s="4" t="inlineStr">
        <is>
          <t>REQ-ATT-001</t>
        </is>
      </c>
      <c r="B37" s="4" t="inlineStr">
        <is>
          <t>Attendance</t>
        </is>
      </c>
      <c r="C37" s="4" t="inlineStr">
        <is>
          <t>Danh sách điểm danh hỗ trợ tìm kiếm, lọc và phân trang 10 bản ghi.</t>
        </is>
      </c>
      <c r="D37" s="4" t="inlineStr">
        <is>
          <t>TC-ATTENDANCE-001, TC-ATTENDANCE-002, TC-ATTENDANCE-003, TC-ATTENDANCE-004</t>
        </is>
      </c>
      <c r="E37" s="4">
        <f>COUNTIF('Test Cases'!$C:$C,A37)</f>
        <v/>
      </c>
      <c r="F37" s="4">
        <f>COUNTIFS('Test Cases'!$C:$C,A37,'Test Cases'!$L:$L,"Pass")</f>
        <v/>
      </c>
      <c r="G37" s="4">
        <f>COUNTIFS('Test Cases'!$C:$C,A37,'Test Cases'!$L:$L,"Fail")</f>
        <v/>
      </c>
      <c r="H37" s="4">
        <f>COUNTIFS('Test Cases'!$C:$C,A37,'Test Cases'!$L:$L,"Blocked")</f>
        <v/>
      </c>
      <c r="I37" s="4">
        <f>IF(E37=0,"Chưa bao phủ","Đã bao phủ")</f>
        <v/>
      </c>
      <c r="J37" s="4">
        <f>IF(E37=0,"No TC",IF(G37&gt;0,"Fail",IF(H37&gt;0,"Blocked",IF(F37=E37,"Pass","Chưa hoàn tất"))))</f>
        <v/>
      </c>
    </row>
    <row r="38">
      <c r="A38" s="4" t="inlineStr">
        <is>
          <t>REQ-ATT-002</t>
        </is>
      </c>
      <c r="B38" s="4" t="inlineStr">
        <is>
          <t>Attendance</t>
        </is>
      </c>
      <c r="C38" s="4" t="inlineStr">
        <is>
          <t>Sổ điểm danh chỉ lấy học viên có trạng thái DangHoc.</t>
        </is>
      </c>
      <c r="D38" s="4" t="inlineStr">
        <is>
          <t>TC-ATTENDANCE-005</t>
        </is>
      </c>
      <c r="E38" s="4">
        <f>COUNTIF('Test Cases'!$C:$C,A38)</f>
        <v/>
      </c>
      <c r="F38" s="4">
        <f>COUNTIFS('Test Cases'!$C:$C,A38,'Test Cases'!$L:$L,"Pass")</f>
        <v/>
      </c>
      <c r="G38" s="4">
        <f>COUNTIFS('Test Cases'!$C:$C,A38,'Test Cases'!$L:$L,"Fail")</f>
        <v/>
      </c>
      <c r="H38" s="4">
        <f>COUNTIFS('Test Cases'!$C:$C,A38,'Test Cases'!$L:$L,"Blocked")</f>
        <v/>
      </c>
      <c r="I38" s="4">
        <f>IF(E38=0,"Chưa bao phủ","Đã bao phủ")</f>
        <v/>
      </c>
      <c r="J38" s="4">
        <f>IF(E38=0,"No TC",IF(G38&gt;0,"Fail",IF(H38&gt;0,"Blocked",IF(F38=E38,"Pass","Chưa hoàn tất"))))</f>
        <v/>
      </c>
    </row>
    <row r="39">
      <c r="A39" s="4" t="inlineStr">
        <is>
          <t>REQ-ATT-003</t>
        </is>
      </c>
      <c r="B39" s="4" t="inlineStr">
        <is>
          <t>Attendance</t>
        </is>
      </c>
      <c r="C39" s="4" t="inlineStr">
        <is>
          <t>Tạo mới hoặc cập nhật điểm danh theo lớp và buổi học.</t>
        </is>
      </c>
      <c r="D39" s="4" t="inlineStr">
        <is>
          <t>TC-ATTENDANCE-006, TC-ATTENDANCE-007, TC-ATTENDANCE-008, TC-ATTENDANCE-009</t>
        </is>
      </c>
      <c r="E39" s="4">
        <f>COUNTIF('Test Cases'!$C:$C,A39)</f>
        <v/>
      </c>
      <c r="F39" s="4">
        <f>COUNTIFS('Test Cases'!$C:$C,A39,'Test Cases'!$L:$L,"Pass")</f>
        <v/>
      </c>
      <c r="G39" s="4">
        <f>COUNTIFS('Test Cases'!$C:$C,A39,'Test Cases'!$L:$L,"Fail")</f>
        <v/>
      </c>
      <c r="H39" s="4">
        <f>COUNTIFS('Test Cases'!$C:$C,A39,'Test Cases'!$L:$L,"Blocked")</f>
        <v/>
      </c>
      <c r="I39" s="4">
        <f>IF(E39=0,"Chưa bao phủ","Đã bao phủ")</f>
        <v/>
      </c>
      <c r="J39" s="4">
        <f>IF(E39=0,"No TC",IF(G39&gt;0,"Fail",IF(H39&gt;0,"Blocked",IF(F39=E39,"Pass","Chưa hoàn tất"))))</f>
        <v/>
      </c>
    </row>
    <row r="40">
      <c r="A40" s="4" t="inlineStr">
        <is>
          <t>REQ-ATT-004</t>
        </is>
      </c>
      <c r="B40" s="4" t="inlineStr">
        <is>
          <t>Attendance</t>
        </is>
      </c>
      <c r="C40" s="4" t="inlineStr">
        <is>
          <t>Lớp, ngày và số buổi là bắt buộc; số buổi nằm trong khoảng 1-200.</t>
        </is>
      </c>
      <c r="D40" s="4" t="inlineStr">
        <is>
          <t>TC-ATTENDANCE-010</t>
        </is>
      </c>
      <c r="E40" s="4">
        <f>COUNTIF('Test Cases'!$C:$C,A40)</f>
        <v/>
      </c>
      <c r="F40" s="4">
        <f>COUNTIFS('Test Cases'!$C:$C,A40,'Test Cases'!$L:$L,"Pass")</f>
        <v/>
      </c>
      <c r="G40" s="4">
        <f>COUNTIFS('Test Cases'!$C:$C,A40,'Test Cases'!$L:$L,"Fail")</f>
        <v/>
      </c>
      <c r="H40" s="4">
        <f>COUNTIFS('Test Cases'!$C:$C,A40,'Test Cases'!$L:$L,"Blocked")</f>
        <v/>
      </c>
      <c r="I40" s="4">
        <f>IF(E40=0,"Chưa bao phủ","Đã bao phủ")</f>
        <v/>
      </c>
      <c r="J40" s="4">
        <f>IF(E40=0,"No TC",IF(G40&gt;0,"Fail",IF(H40&gt;0,"Blocked",IF(F40=E40,"Pass","Chưa hoàn tất"))))</f>
        <v/>
      </c>
    </row>
    <row r="41">
      <c r="A41" s="4" t="inlineStr">
        <is>
          <t>REQ-ATT-005</t>
        </is>
      </c>
      <c r="B41" s="4" t="inlineStr">
        <is>
          <t>Attendance</t>
        </is>
      </c>
      <c r="C41" s="4" t="inlineStr">
        <is>
          <t>Ghi chú điểm danh tối đa 255 ký tự.</t>
        </is>
      </c>
      <c r="D41" s="4" t="inlineStr">
        <is>
          <t>TC-ATTENDANCE-011</t>
        </is>
      </c>
      <c r="E41" s="4">
        <f>COUNTIF('Test Cases'!$C:$C,A41)</f>
        <v/>
      </c>
      <c r="F41" s="4">
        <f>COUNTIFS('Test Cases'!$C:$C,A41,'Test Cases'!$L:$L,"Pass")</f>
        <v/>
      </c>
      <c r="G41" s="4">
        <f>COUNTIFS('Test Cases'!$C:$C,A41,'Test Cases'!$L:$L,"Fail")</f>
        <v/>
      </c>
      <c r="H41" s="4">
        <f>COUNTIFS('Test Cases'!$C:$C,A41,'Test Cases'!$L:$L,"Blocked")</f>
        <v/>
      </c>
      <c r="I41" s="4">
        <f>IF(E41=0,"Chưa bao phủ","Đã bao phủ")</f>
        <v/>
      </c>
      <c r="J41" s="4">
        <f>IF(E41=0,"No TC",IF(G41&gt;0,"Fail",IF(H41&gt;0,"Blocked",IF(F41=E41,"Pass","Chưa hoàn tất"))))</f>
        <v/>
      </c>
    </row>
    <row r="42">
      <c r="A42" s="4" t="inlineStr">
        <is>
          <t>REQ-ATT-006</t>
        </is>
      </c>
      <c r="B42" s="4" t="inlineStr">
        <is>
          <t>Attendance</t>
        </is>
      </c>
      <c r="C42" s="4" t="inlineStr">
        <is>
          <t>Có thể xóa một bản ghi điểm danh.</t>
        </is>
      </c>
      <c r="D42" s="4" t="inlineStr">
        <is>
          <t>TC-ATTENDANCE-012</t>
        </is>
      </c>
      <c r="E42" s="4">
        <f>COUNTIF('Test Cases'!$C:$C,A42)</f>
        <v/>
      </c>
      <c r="F42" s="4">
        <f>COUNTIFS('Test Cases'!$C:$C,A42,'Test Cases'!$L:$L,"Pass")</f>
        <v/>
      </c>
      <c r="G42" s="4">
        <f>COUNTIFS('Test Cases'!$C:$C,A42,'Test Cases'!$L:$L,"Fail")</f>
        <v/>
      </c>
      <c r="H42" s="4">
        <f>COUNTIFS('Test Cases'!$C:$C,A42,'Test Cases'!$L:$L,"Blocked")</f>
        <v/>
      </c>
      <c r="I42" s="4">
        <f>IF(E42=0,"Chưa bao phủ","Đã bao phủ")</f>
        <v/>
      </c>
      <c r="J42" s="4">
        <f>IF(E42=0,"No TC",IF(G42&gt;0,"Fail",IF(H42&gt;0,"Blocked",IF(F42=E42,"Pass","Chưa hoàn tất"))))</f>
        <v/>
      </c>
    </row>
    <row r="43">
      <c r="A43" s="4" t="inlineStr">
        <is>
          <t>REQ-GRADE-001</t>
        </is>
      </c>
      <c r="B43" s="4" t="inlineStr">
        <is>
          <t>Grade</t>
        </is>
      </c>
      <c r="C43" s="4" t="inlineStr">
        <is>
          <t>Danh sách điểm hỗ trợ tìm kiếm, lọc và phân trang 10 bản ghi.</t>
        </is>
      </c>
      <c r="D43" s="4" t="inlineStr">
        <is>
          <t>TC-GRADE-001, TC-GRADE-002, TC-GRADE-003, TC-GRADE-004</t>
        </is>
      </c>
      <c r="E43" s="4">
        <f>COUNTIF('Test Cases'!$C:$C,A43)</f>
        <v/>
      </c>
      <c r="F43" s="4">
        <f>COUNTIFS('Test Cases'!$C:$C,A43,'Test Cases'!$L:$L,"Pass")</f>
        <v/>
      </c>
      <c r="G43" s="4">
        <f>COUNTIFS('Test Cases'!$C:$C,A43,'Test Cases'!$L:$L,"Fail")</f>
        <v/>
      </c>
      <c r="H43" s="4">
        <f>COUNTIFS('Test Cases'!$C:$C,A43,'Test Cases'!$L:$L,"Blocked")</f>
        <v/>
      </c>
      <c r="I43" s="4">
        <f>IF(E43=0,"Chưa bao phủ","Đã bao phủ")</f>
        <v/>
      </c>
      <c r="J43" s="4">
        <f>IF(E43=0,"No TC",IF(G43&gt;0,"Fail",IF(H43&gt;0,"Blocked",IF(F43=E43,"Pass","Chưa hoàn tất"))))</f>
        <v/>
      </c>
    </row>
    <row r="44">
      <c r="A44" s="4" t="inlineStr">
        <is>
          <t>REQ-GRADE-002</t>
        </is>
      </c>
      <c r="B44" s="4" t="inlineStr">
        <is>
          <t>Grade</t>
        </is>
      </c>
      <c r="C44" s="4" t="inlineStr">
        <is>
          <t>Sổ điểm chỉ lấy học viên có trạng thái DangHoc và nạp điểm đã có.</t>
        </is>
      </c>
      <c r="D44" s="4" t="inlineStr">
        <is>
          <t>TC-GRADE-005, TC-GRADE-006</t>
        </is>
      </c>
      <c r="E44" s="4">
        <f>COUNTIF('Test Cases'!$C:$C,A44)</f>
        <v/>
      </c>
      <c r="F44" s="4">
        <f>COUNTIFS('Test Cases'!$C:$C,A44,'Test Cases'!$L:$L,"Pass")</f>
        <v/>
      </c>
      <c r="G44" s="4">
        <f>COUNTIFS('Test Cases'!$C:$C,A44,'Test Cases'!$L:$L,"Fail")</f>
        <v/>
      </c>
      <c r="H44" s="4">
        <f>COUNTIFS('Test Cases'!$C:$C,A44,'Test Cases'!$L:$L,"Blocked")</f>
        <v/>
      </c>
      <c r="I44" s="4">
        <f>IF(E44=0,"Chưa bao phủ","Đã bao phủ")</f>
        <v/>
      </c>
      <c r="J44" s="4">
        <f>IF(E44=0,"No TC",IF(G44&gt;0,"Fail",IF(H44&gt;0,"Blocked",IF(F44=E44,"Pass","Chưa hoàn tất"))))</f>
        <v/>
      </c>
    </row>
    <row r="45">
      <c r="A45" s="4" t="inlineStr">
        <is>
          <t>REQ-GRADE-003</t>
        </is>
      </c>
      <c r="B45" s="4" t="inlineStr">
        <is>
          <t>Grade</t>
        </is>
      </c>
      <c r="C45" s="4" t="inlineStr">
        <is>
          <t>Chỉ tạo bản ghi điểm mới khi có điểm hoặc nhận xét; có thể cập nhật bản ghi cũ.</t>
        </is>
      </c>
      <c r="D45" s="4" t="inlineStr">
        <is>
          <t>TC-GRADE-007, TC-GRADE-008, TC-GRADE-009</t>
        </is>
      </c>
      <c r="E45" s="4">
        <f>COUNTIF('Test Cases'!$C:$C,A45)</f>
        <v/>
      </c>
      <c r="F45" s="4">
        <f>COUNTIFS('Test Cases'!$C:$C,A45,'Test Cases'!$L:$L,"Pass")</f>
        <v/>
      </c>
      <c r="G45" s="4">
        <f>COUNTIFS('Test Cases'!$C:$C,A45,'Test Cases'!$L:$L,"Fail")</f>
        <v/>
      </c>
      <c r="H45" s="4">
        <f>COUNTIFS('Test Cases'!$C:$C,A45,'Test Cases'!$L:$L,"Blocked")</f>
        <v/>
      </c>
      <c r="I45" s="4">
        <f>IF(E45=0,"Chưa bao phủ","Đã bao phủ")</f>
        <v/>
      </c>
      <c r="J45" s="4">
        <f>IF(E45=0,"No TC",IF(G45&gt;0,"Fail",IF(H45&gt;0,"Blocked",IF(F45=E45,"Pass","Chưa hoàn tất"))))</f>
        <v/>
      </c>
    </row>
    <row r="46">
      <c r="A46" s="4" t="inlineStr">
        <is>
          <t>REQ-GRADE-004</t>
        </is>
      </c>
      <c r="B46" s="4" t="inlineStr">
        <is>
          <t>Grade</t>
        </is>
      </c>
      <c r="C46" s="4" t="inlineStr">
        <is>
          <t>Điểm từng kỹ năng nằm trong khoảng 0-990.</t>
        </is>
      </c>
      <c r="D46" s="4" t="inlineStr">
        <is>
          <t>TC-GRADE-010</t>
        </is>
      </c>
      <c r="E46" s="4">
        <f>COUNTIF('Test Cases'!$C:$C,A46)</f>
        <v/>
      </c>
      <c r="F46" s="4">
        <f>COUNTIFS('Test Cases'!$C:$C,A46,'Test Cases'!$L:$L,"Pass")</f>
        <v/>
      </c>
      <c r="G46" s="4">
        <f>COUNTIFS('Test Cases'!$C:$C,A46,'Test Cases'!$L:$L,"Fail")</f>
        <v/>
      </c>
      <c r="H46" s="4">
        <f>COUNTIFS('Test Cases'!$C:$C,A46,'Test Cases'!$L:$L,"Blocked")</f>
        <v/>
      </c>
      <c r="I46" s="4">
        <f>IF(E46=0,"Chưa bao phủ","Đã bao phủ")</f>
        <v/>
      </c>
      <c r="J46" s="4">
        <f>IF(E46=0,"No TC",IF(G46&gt;0,"Fail",IF(H46&gt;0,"Blocked",IF(F46=E46,"Pass","Chưa hoàn tất"))))</f>
        <v/>
      </c>
    </row>
    <row r="47">
      <c r="A47" s="4" t="inlineStr">
        <is>
          <t>REQ-GRADE-005</t>
        </is>
      </c>
      <c r="B47" s="4" t="inlineStr">
        <is>
          <t>Grade</t>
        </is>
      </c>
      <c r="C47" s="4" t="inlineStr">
        <is>
          <t>Kỳ kiểm tra bắt buộc, tối đa 50 ký tự; nhận xét tối đa 500 ký tự.</t>
        </is>
      </c>
      <c r="D47" s="4" t="inlineStr">
        <is>
          <t>TC-GRADE-011</t>
        </is>
      </c>
      <c r="E47" s="4">
        <f>COUNTIF('Test Cases'!$C:$C,A47)</f>
        <v/>
      </c>
      <c r="F47" s="4">
        <f>COUNTIFS('Test Cases'!$C:$C,A47,'Test Cases'!$L:$L,"Pass")</f>
        <v/>
      </c>
      <c r="G47" s="4">
        <f>COUNTIFS('Test Cases'!$C:$C,A47,'Test Cases'!$L:$L,"Fail")</f>
        <v/>
      </c>
      <c r="H47" s="4">
        <f>COUNTIFS('Test Cases'!$C:$C,A47,'Test Cases'!$L:$L,"Blocked")</f>
        <v/>
      </c>
      <c r="I47" s="4">
        <f>IF(E47=0,"Chưa bao phủ","Đã bao phủ")</f>
        <v/>
      </c>
      <c r="J47" s="4">
        <f>IF(E47=0,"No TC",IF(G47&gt;0,"Fail",IF(H47&gt;0,"Blocked",IF(F47=E47,"Pass","Chưa hoàn tất"))))</f>
        <v/>
      </c>
    </row>
    <row r="48">
      <c r="A48" s="4" t="inlineStr">
        <is>
          <t>REQ-GRADE-006</t>
        </is>
      </c>
      <c r="B48" s="4" t="inlineStr">
        <is>
          <t>Grade</t>
        </is>
      </c>
      <c r="C48" s="4" t="inlineStr">
        <is>
          <t>TOEIC Overall bằng Listening cộng Reading.</t>
        </is>
      </c>
      <c r="D48" s="4" t="inlineStr">
        <is>
          <t>TC-GRADE-012</t>
        </is>
      </c>
      <c r="E48" s="4">
        <f>COUNTIF('Test Cases'!$C:$C,A48)</f>
        <v/>
      </c>
      <c r="F48" s="4">
        <f>COUNTIFS('Test Cases'!$C:$C,A48,'Test Cases'!$L:$L,"Pass")</f>
        <v/>
      </c>
      <c r="G48" s="4">
        <f>COUNTIFS('Test Cases'!$C:$C,A48,'Test Cases'!$L:$L,"Fail")</f>
        <v/>
      </c>
      <c r="H48" s="4">
        <f>COUNTIFS('Test Cases'!$C:$C,A48,'Test Cases'!$L:$L,"Blocked")</f>
        <v/>
      </c>
      <c r="I48" s="4">
        <f>IF(E48=0,"Chưa bao phủ","Đã bao phủ")</f>
        <v/>
      </c>
      <c r="J48" s="4">
        <f>IF(E48=0,"No TC",IF(G48&gt;0,"Fail",IF(H48&gt;0,"Blocked",IF(F48=E48,"Pass","Chưa hoàn tất"))))</f>
        <v/>
      </c>
    </row>
    <row r="49">
      <c r="A49" s="4" t="inlineStr">
        <is>
          <t>REQ-GRADE-007</t>
        </is>
      </c>
      <c r="B49" s="4" t="inlineStr">
        <is>
          <t>Grade</t>
        </is>
      </c>
      <c r="C49" s="4" t="inlineStr">
        <is>
          <t>IELTS Overall là trung bình kỹ năng đã nhập và làm tròn band .0/.5.</t>
        </is>
      </c>
      <c r="D49" s="4" t="inlineStr">
        <is>
          <t>TC-GRADE-013</t>
        </is>
      </c>
      <c r="E49" s="4">
        <f>COUNTIF('Test Cases'!$C:$C,A49)</f>
        <v/>
      </c>
      <c r="F49" s="4">
        <f>COUNTIFS('Test Cases'!$C:$C,A49,'Test Cases'!$L:$L,"Pass")</f>
        <v/>
      </c>
      <c r="G49" s="4">
        <f>COUNTIFS('Test Cases'!$C:$C,A49,'Test Cases'!$L:$L,"Fail")</f>
        <v/>
      </c>
      <c r="H49" s="4">
        <f>COUNTIFS('Test Cases'!$C:$C,A49,'Test Cases'!$L:$L,"Blocked")</f>
        <v/>
      </c>
      <c r="I49" s="4">
        <f>IF(E49=0,"Chưa bao phủ","Đã bao phủ")</f>
        <v/>
      </c>
      <c r="J49" s="4">
        <f>IF(E49=0,"No TC",IF(G49&gt;0,"Fail",IF(H49&gt;0,"Blocked",IF(F49=E49,"Pass","Chưa hoàn tất"))))</f>
        <v/>
      </c>
    </row>
    <row r="50">
      <c r="A50" s="4" t="inlineStr">
        <is>
          <t>REQ-GRADE-008</t>
        </is>
      </c>
      <c r="B50" s="4" t="inlineStr">
        <is>
          <t>Grade</t>
        </is>
      </c>
      <c r="C50" s="4" t="inlineStr">
        <is>
          <t>Khóa học khác tính trung bình kỹ năng và làm tròn một chữ số.</t>
        </is>
      </c>
      <c r="D50" s="4" t="inlineStr">
        <is>
          <t>TC-GRADE-014</t>
        </is>
      </c>
      <c r="E50" s="4">
        <f>COUNTIF('Test Cases'!$C:$C,A50)</f>
        <v/>
      </c>
      <c r="F50" s="4">
        <f>COUNTIFS('Test Cases'!$C:$C,A50,'Test Cases'!$L:$L,"Pass")</f>
        <v/>
      </c>
      <c r="G50" s="4">
        <f>COUNTIFS('Test Cases'!$C:$C,A50,'Test Cases'!$L:$L,"Fail")</f>
        <v/>
      </c>
      <c r="H50" s="4">
        <f>COUNTIFS('Test Cases'!$C:$C,A50,'Test Cases'!$L:$L,"Blocked")</f>
        <v/>
      </c>
      <c r="I50" s="4">
        <f>IF(E50=0,"Chưa bao phủ","Đã bao phủ")</f>
        <v/>
      </c>
      <c r="J50" s="4">
        <f>IF(E50=0,"No TC",IF(G50&gt;0,"Fail",IF(H50&gt;0,"Blocked",IF(F50=E50,"Pass","Chưa hoàn tất"))))</f>
        <v/>
      </c>
    </row>
    <row r="51">
      <c r="A51" s="4" t="inlineStr">
        <is>
          <t>REQ-GRADE-009</t>
        </is>
      </c>
      <c r="B51" s="4" t="inlineStr">
        <is>
          <t>Grade</t>
        </is>
      </c>
      <c r="C51" s="4" t="inlineStr">
        <is>
          <t>Có thể xóa một bản ghi điểm.</t>
        </is>
      </c>
      <c r="D51" s="4" t="inlineStr">
        <is>
          <t>TC-GRADE-015</t>
        </is>
      </c>
      <c r="E51" s="4">
        <f>COUNTIF('Test Cases'!$C:$C,A51)</f>
        <v/>
      </c>
      <c r="F51" s="4">
        <f>COUNTIFS('Test Cases'!$C:$C,A51,'Test Cases'!$L:$L,"Pass")</f>
        <v/>
      </c>
      <c r="G51" s="4">
        <f>COUNTIFS('Test Cases'!$C:$C,A51,'Test Cases'!$L:$L,"Fail")</f>
        <v/>
      </c>
      <c r="H51" s="4">
        <f>COUNTIFS('Test Cases'!$C:$C,A51,'Test Cases'!$L:$L,"Blocked")</f>
        <v/>
      </c>
      <c r="I51" s="4">
        <f>IF(E51=0,"Chưa bao phủ","Đã bao phủ")</f>
        <v/>
      </c>
      <c r="J51" s="4">
        <f>IF(E51=0,"No TC",IF(G51&gt;0,"Fail",IF(H51&gt;0,"Blocked",IF(F51=E51,"Pass","Chưa hoàn tất"))))</f>
        <v/>
      </c>
    </row>
    <row r="52">
      <c r="A52" s="4" t="inlineStr">
        <is>
          <t>REQ-COMMON-001</t>
        </is>
      </c>
      <c r="B52" s="4" t="inlineStr">
        <is>
          <t>Common</t>
        </is>
      </c>
      <c r="C52" s="4" t="inlineStr">
        <is>
          <t>Người chưa đăng nhập bị chuyển đến Login khi vào route quản trị.</t>
        </is>
      </c>
      <c r="D52" s="4" t="inlineStr">
        <is>
          <t>TC-COMMON-001</t>
        </is>
      </c>
      <c r="E52" s="4">
        <f>COUNTIF('Test Cases'!$C:$C,A52)</f>
        <v/>
      </c>
      <c r="F52" s="4">
        <f>COUNTIFS('Test Cases'!$C:$C,A52,'Test Cases'!$L:$L,"Pass")</f>
        <v/>
      </c>
      <c r="G52" s="4">
        <f>COUNTIFS('Test Cases'!$C:$C,A52,'Test Cases'!$L:$L,"Fail")</f>
        <v/>
      </c>
      <c r="H52" s="4">
        <f>COUNTIFS('Test Cases'!$C:$C,A52,'Test Cases'!$L:$L,"Blocked")</f>
        <v/>
      </c>
      <c r="I52" s="4">
        <f>IF(E52=0,"Chưa bao phủ","Đã bao phủ")</f>
        <v/>
      </c>
      <c r="J52" s="4">
        <f>IF(E52=0,"No TC",IF(G52&gt;0,"Fail",IF(H52&gt;0,"Blocked",IF(F52=E52,"Pass","Chưa hoàn tất"))))</f>
        <v/>
      </c>
    </row>
    <row r="53">
      <c r="A53" s="4" t="inlineStr">
        <is>
          <t>REQ-COMMON-002</t>
        </is>
      </c>
      <c r="B53" s="4" t="inlineStr">
        <is>
          <t>Common</t>
        </is>
      </c>
      <c r="C53" s="4" t="inlineStr">
        <is>
          <t>Các thao tác thay đổi dữ liệu phải kiểm tra anti-forgery token.</t>
        </is>
      </c>
      <c r="D53" s="4" t="inlineStr">
        <is>
          <t>TC-COMMON-002</t>
        </is>
      </c>
      <c r="E53" s="4">
        <f>COUNTIF('Test Cases'!$C:$C,A53)</f>
        <v/>
      </c>
      <c r="F53" s="4">
        <f>COUNTIFS('Test Cases'!$C:$C,A53,'Test Cases'!$L:$L,"Pass")</f>
        <v/>
      </c>
      <c r="G53" s="4">
        <f>COUNTIFS('Test Cases'!$C:$C,A53,'Test Cases'!$L:$L,"Fail")</f>
        <v/>
      </c>
      <c r="H53" s="4">
        <f>COUNTIFS('Test Cases'!$C:$C,A53,'Test Cases'!$L:$L,"Blocked")</f>
        <v/>
      </c>
      <c r="I53" s="4">
        <f>IF(E53=0,"Chưa bao phủ","Đã bao phủ")</f>
        <v/>
      </c>
      <c r="J53" s="4">
        <f>IF(E53=0,"No TC",IF(G53&gt;0,"Fail",IF(H53&gt;0,"Blocked",IF(F53=E53,"Pass","Chưa hoàn tất"))))</f>
        <v/>
      </c>
    </row>
    <row r="54">
      <c r="A54" s="4" t="inlineStr">
        <is>
          <t>REQ-COMMON-003</t>
        </is>
      </c>
      <c r="B54" s="4" t="inlineStr">
        <is>
          <t>Common</t>
        </is>
      </c>
      <c r="C54" s="4" t="inlineStr">
        <is>
          <t>ID rỗng/không tồn tại trả về Not Found phù hợp.</t>
        </is>
      </c>
      <c r="D54" s="4" t="inlineStr">
        <is>
          <t>TC-COMMON-003</t>
        </is>
      </c>
      <c r="E54" s="4">
        <f>COUNTIF('Test Cases'!$C:$C,A54)</f>
        <v/>
      </c>
      <c r="F54" s="4">
        <f>COUNTIFS('Test Cases'!$C:$C,A54,'Test Cases'!$L:$L,"Pass")</f>
        <v/>
      </c>
      <c r="G54" s="4">
        <f>COUNTIFS('Test Cases'!$C:$C,A54,'Test Cases'!$L:$L,"Fail")</f>
        <v/>
      </c>
      <c r="H54" s="4">
        <f>COUNTIFS('Test Cases'!$C:$C,A54,'Test Cases'!$L:$L,"Blocked")</f>
        <v/>
      </c>
      <c r="I54" s="4">
        <f>IF(E54=0,"Chưa bao phủ","Đã bao phủ")</f>
        <v/>
      </c>
      <c r="J54" s="4">
        <f>IF(E54=0,"No TC",IF(G54&gt;0,"Fail",IF(H54&gt;0,"Blocked",IF(F54=E54,"Pass","Chưa hoàn tất"))))</f>
        <v/>
      </c>
    </row>
    <row r="55">
      <c r="A55" s="4" t="inlineStr">
        <is>
          <t>REQ-COMMON-004</t>
        </is>
      </c>
      <c r="B55" s="4" t="inlineStr">
        <is>
          <t>Common</t>
        </is>
      </c>
      <c r="C55" s="4" t="inlineStr">
        <is>
          <t>Ứng dụng build và khởi tạo seed data thành công.</t>
        </is>
      </c>
      <c r="D55" s="4" t="inlineStr">
        <is>
          <t>TC-COMMON-004, TC-COMMON-005</t>
        </is>
      </c>
      <c r="E55" s="4">
        <f>COUNTIF('Test Cases'!$C:$C,A55)</f>
        <v/>
      </c>
      <c r="F55" s="4">
        <f>COUNTIFS('Test Cases'!$C:$C,A55,'Test Cases'!$L:$L,"Pass")</f>
        <v/>
      </c>
      <c r="G55" s="4">
        <f>COUNTIFS('Test Cases'!$C:$C,A55,'Test Cases'!$L:$L,"Fail")</f>
        <v/>
      </c>
      <c r="H55" s="4">
        <f>COUNTIFS('Test Cases'!$C:$C,A55,'Test Cases'!$L:$L,"Blocked")</f>
        <v/>
      </c>
      <c r="I55" s="4">
        <f>IF(E55=0,"Chưa bao phủ","Đã bao phủ")</f>
        <v/>
      </c>
      <c r="J55" s="4">
        <f>IF(E55=0,"No TC",IF(G55&gt;0,"Fail",IF(H55&gt;0,"Blocked",IF(F55=E55,"Pass","Chưa hoàn tất"))))</f>
        <v/>
      </c>
    </row>
    <row r="56">
      <c r="A56" s="4" t="inlineStr">
        <is>
          <t>REQ-COMMON-005</t>
        </is>
      </c>
      <c r="B56" s="4" t="inlineStr">
        <is>
          <t>Common</t>
        </is>
      </c>
      <c r="C56" s="4" t="inlineStr">
        <is>
          <t>Giao diện luồng chính dùng được trên trình duyệt mục tiêu và không vỡ bố cục.</t>
        </is>
      </c>
      <c r="D56" s="4" t="inlineStr">
        <is>
          <t>TC-COMMON-006</t>
        </is>
      </c>
      <c r="E56" s="4">
        <f>COUNTIF('Test Cases'!$C:$C,A56)</f>
        <v/>
      </c>
      <c r="F56" s="4">
        <f>COUNTIFS('Test Cases'!$C:$C,A56,'Test Cases'!$L:$L,"Pass")</f>
        <v/>
      </c>
      <c r="G56" s="4">
        <f>COUNTIFS('Test Cases'!$C:$C,A56,'Test Cases'!$L:$L,"Fail")</f>
        <v/>
      </c>
      <c r="H56" s="4">
        <f>COUNTIFS('Test Cases'!$C:$C,A56,'Test Cases'!$L:$L,"Blocked")</f>
        <v/>
      </c>
      <c r="I56" s="4">
        <f>IF(E56=0,"Chưa bao phủ","Đã bao phủ")</f>
        <v/>
      </c>
      <c r="J56" s="4">
        <f>IF(E56=0,"No TC",IF(G56&gt;0,"Fail",IF(H56&gt;0,"Blocked",IF(F56=E56,"Pass","Chưa hoàn tất"))))</f>
        <v/>
      </c>
    </row>
  </sheetData>
  <mergeCells count="2">
    <mergeCell ref="A1:J1"/>
    <mergeCell ref="A2:J2"/>
  </mergeCells>
  <conditionalFormatting sqref="J5:J56">
    <cfRule type="expression" priority="1" dxfId="0">
      <formula>$J5="Pass"</formula>
    </cfRule>
    <cfRule type="expression" priority="2" dxfId="1">
      <formula>$J5="Fail"</formula>
    </cfRule>
    <cfRule type="expression" priority="3" dxfId="2">
      <formula>$J5="Blocked"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48" customWidth="1" min="3" max="3"/>
    <col width="56" customWidth="1" min="4" max="4"/>
    <col width="14" customWidth="1" min="5" max="5"/>
    <col width="18" customWidth="1" min="6" max="6"/>
    <col width="36" customWidth="1" min="7" max="7"/>
  </cols>
  <sheetData>
    <row r="1" ht="28" customHeight="1">
      <c r="A1" s="1" t="inlineStr">
        <is>
          <t>SMOKE CHECKLIST</t>
        </is>
      </c>
    </row>
    <row r="2" ht="30" customHeight="1">
      <c r="A2" s="2" t="inlineStr">
        <is>
          <t>Chạy sau mỗi build/deploy. Exit gate yêu cầu 100% Pass.</t>
        </is>
      </c>
    </row>
    <row r="4" ht="32" customHeight="1">
      <c r="A4" s="3" t="inlineStr">
        <is>
          <t>Smoke ID</t>
        </is>
      </c>
      <c r="B4" s="3" t="inlineStr">
        <is>
          <t>Khu vực</t>
        </is>
      </c>
      <c r="C4" s="3" t="inlineStr">
        <is>
          <t>Kiểm tra</t>
        </is>
      </c>
      <c r="D4" s="3" t="inlineStr">
        <is>
          <t>Kết quả mong đợi</t>
        </is>
      </c>
      <c r="E4" s="3" t="inlineStr">
        <is>
          <t>Trạng thái</t>
        </is>
      </c>
      <c r="F4" s="3" t="inlineStr">
        <is>
          <t>Người chạy</t>
        </is>
      </c>
      <c r="G4" s="3" t="inlineStr">
        <is>
          <t>Ghi chú</t>
        </is>
      </c>
    </row>
    <row r="5">
      <c r="A5" s="4" t="inlineStr">
        <is>
          <t>SMK-001</t>
        </is>
      </c>
      <c r="B5" s="4" t="inlineStr">
        <is>
          <t>Build</t>
        </is>
      </c>
      <c r="C5" s="4" t="inlineStr">
        <is>
          <t>Build solution</t>
        </is>
      </c>
      <c r="D5" s="4" t="inlineStr">
        <is>
          <t>Exit code 0, không có compile error</t>
        </is>
      </c>
      <c r="E5" s="4" t="inlineStr">
        <is>
          <t>Chưa chạy</t>
        </is>
      </c>
      <c r="F5" s="4" t="inlineStr"/>
      <c r="G5" s="4" t="inlineStr"/>
    </row>
    <row r="6">
      <c r="A6" s="4" t="inlineStr">
        <is>
          <t>SMK-002</t>
        </is>
      </c>
      <c r="B6" s="4" t="inlineStr">
        <is>
          <t>Startup</t>
        </is>
      </c>
      <c r="C6" s="4" t="inlineStr">
        <is>
          <t>Ứng dụng khởi động và kết nối database</t>
        </is>
      </c>
      <c r="D6" s="4" t="inlineStr">
        <is>
          <t>Trang Login mở được, không có lỗi startup</t>
        </is>
      </c>
      <c r="E6" s="4" t="inlineStr">
        <is>
          <t>Chưa chạy</t>
        </is>
      </c>
      <c r="F6" s="4" t="inlineStr"/>
      <c r="G6" s="4" t="inlineStr"/>
    </row>
    <row r="7">
      <c r="A7" s="4" t="inlineStr">
        <is>
          <t>SMK-003</t>
        </is>
      </c>
      <c r="B7" s="4" t="inlineStr">
        <is>
          <t>Seed</t>
        </is>
      </c>
      <c r="C7" s="4" t="inlineStr">
        <is>
          <t>Đăng nhập bốn tài khoản seed</t>
        </is>
      </c>
      <c r="D7" s="4" t="inlineStr">
        <is>
          <t>Cả bốn tài khoản xác thực đúng</t>
        </is>
      </c>
      <c r="E7" s="4" t="inlineStr">
        <is>
          <t>Chưa chạy</t>
        </is>
      </c>
      <c r="F7" s="4" t="inlineStr"/>
      <c r="G7" s="4" t="inlineStr"/>
    </row>
    <row r="8">
      <c r="A8" s="4" t="inlineStr">
        <is>
          <t>SMK-004</t>
        </is>
      </c>
      <c r="B8" s="4" t="inlineStr">
        <is>
          <t>Auth</t>
        </is>
      </c>
      <c r="C8" s="4" t="inlineStr">
        <is>
          <t>Admin đăng nhập và đăng xuất</t>
        </is>
      </c>
      <c r="D8" s="4" t="inlineStr">
        <is>
          <t>Tạo/hủy phiên đúng</t>
        </is>
      </c>
      <c r="E8" s="4" t="inlineStr">
        <is>
          <t>Chưa chạy</t>
        </is>
      </c>
      <c r="F8" s="4" t="inlineStr"/>
      <c r="G8" s="4" t="inlineStr"/>
    </row>
    <row r="9">
      <c r="A9" s="4" t="inlineStr">
        <is>
          <t>SMK-005</t>
        </is>
      </c>
      <c r="B9" s="4" t="inlineStr">
        <is>
          <t>Authorization</t>
        </is>
      </c>
      <c r="C9" s="4" t="inlineStr">
        <is>
          <t>SinhVien mở /Course</t>
        </is>
      </c>
      <c r="D9" s="4" t="inlineStr">
        <is>
          <t>Chuyển đến Denied</t>
        </is>
      </c>
      <c r="E9" s="4" t="inlineStr">
        <is>
          <t>Chưa chạy</t>
        </is>
      </c>
      <c r="F9" s="4" t="inlineStr"/>
      <c r="G9" s="4" t="inlineStr"/>
    </row>
    <row r="10">
      <c r="A10" s="4" t="inlineStr">
        <is>
          <t>SMK-006</t>
        </is>
      </c>
      <c r="B10" s="4" t="inlineStr">
        <is>
          <t>Course</t>
        </is>
      </c>
      <c r="C10" s="4" t="inlineStr">
        <is>
          <t>Tạo khóa học tối thiểu hợp lệ</t>
        </is>
      </c>
      <c r="D10" s="4" t="inlineStr">
        <is>
          <t>Tạo và hiển thị trong danh sách</t>
        </is>
      </c>
      <c r="E10" s="4" t="inlineStr">
        <is>
          <t>Chưa chạy</t>
        </is>
      </c>
      <c r="F10" s="4" t="inlineStr"/>
      <c r="G10" s="4" t="inlineStr"/>
    </row>
    <row r="11">
      <c r="A11" s="4" t="inlineStr">
        <is>
          <t>SMK-007</t>
        </is>
      </c>
      <c r="B11" s="4" t="inlineStr">
        <is>
          <t>Class</t>
        </is>
      </c>
      <c r="C11" s="4" t="inlineStr">
        <is>
          <t>Tạo lớp cho khóa học QA</t>
        </is>
      </c>
      <c r="D11" s="4" t="inlineStr">
        <is>
          <t>Tạo và hiển thị trong danh sách</t>
        </is>
      </c>
      <c r="E11" s="4" t="inlineStr">
        <is>
          <t>Chưa chạy</t>
        </is>
      </c>
      <c r="F11" s="4" t="inlineStr"/>
      <c r="G11" s="4" t="inlineStr"/>
    </row>
    <row r="12">
      <c r="A12" s="4" t="inlineStr">
        <is>
          <t>SMK-008</t>
        </is>
      </c>
      <c r="B12" s="4" t="inlineStr">
        <is>
          <t>Enrollment</t>
        </is>
      </c>
      <c r="C12" s="4" t="inlineStr">
        <is>
          <t>Ghi danh học viên vào lớp còn chỗ</t>
        </is>
      </c>
      <c r="D12" s="4" t="inlineStr">
        <is>
          <t>Tạo ghi danh và tính PaymentStatus đúng</t>
        </is>
      </c>
      <c r="E12" s="4" t="inlineStr">
        <is>
          <t>Chưa chạy</t>
        </is>
      </c>
      <c r="F12" s="4" t="inlineStr"/>
      <c r="G12" s="4" t="inlineStr"/>
    </row>
    <row r="13">
      <c r="A13" s="4" t="inlineStr">
        <is>
          <t>SMK-009</t>
        </is>
      </c>
      <c r="B13" s="4" t="inlineStr">
        <is>
          <t>Attendance</t>
        </is>
      </c>
      <c r="C13" s="4" t="inlineStr">
        <is>
          <t>Lưu điểm danh một buổi</t>
        </is>
      </c>
      <c r="D13" s="4" t="inlineStr">
        <is>
          <t>Tạo bản ghi và mở lại thấy dữ liệu</t>
        </is>
      </c>
      <c r="E13" s="4" t="inlineStr">
        <is>
          <t>Chưa chạy</t>
        </is>
      </c>
      <c r="F13" s="4" t="inlineStr"/>
      <c r="G13" s="4" t="inlineStr"/>
    </row>
    <row r="14">
      <c r="A14" s="4" t="inlineStr">
        <is>
          <t>SMK-010</t>
        </is>
      </c>
      <c r="B14" s="4" t="inlineStr">
        <is>
          <t>Grade</t>
        </is>
      </c>
      <c r="C14" s="4" t="inlineStr">
        <is>
          <t>Lưu điểm một kỳ</t>
        </is>
      </c>
      <c r="D14" s="4" t="inlineStr">
        <is>
          <t>Tạo bản ghi và Overall đúng loại khóa</t>
        </is>
      </c>
      <c r="E14" s="4" t="inlineStr">
        <is>
          <t>Chưa chạy</t>
        </is>
      </c>
      <c r="F14" s="4" t="inlineStr"/>
      <c r="G14" s="4" t="inlineStr"/>
    </row>
    <row r="15">
      <c r="A15" s="4" t="inlineStr">
        <is>
          <t>SMK-011</t>
        </is>
      </c>
      <c r="B15" s="4" t="inlineStr">
        <is>
          <t>Search</t>
        </is>
      </c>
      <c r="C15" s="4" t="inlineStr">
        <is>
          <t>Tìm kiếm trên danh sách chính</t>
        </is>
      </c>
      <c r="D15" s="4" t="inlineStr">
        <is>
          <t>Kết quả lọc đúng, không lỗi</t>
        </is>
      </c>
      <c r="E15" s="4" t="inlineStr">
        <is>
          <t>Chưa chạy</t>
        </is>
      </c>
      <c r="F15" s="4" t="inlineStr"/>
      <c r="G15" s="4" t="inlineStr"/>
    </row>
    <row r="16">
      <c r="A16" s="4" t="inlineStr">
        <is>
          <t>SMK-012</t>
        </is>
      </c>
      <c r="B16" s="4" t="inlineStr">
        <is>
          <t>Delete guard</t>
        </is>
      </c>
      <c r="C16" s="4" t="inlineStr">
        <is>
          <t>Thử xóa khóa/lớp/ghi danh có liên kết</t>
        </is>
      </c>
      <c r="D16" s="4" t="inlineStr">
        <is>
          <t>Bị chặn và dữ liệu còn nguyên</t>
        </is>
      </c>
      <c r="E16" s="4" t="inlineStr">
        <is>
          <t>Chưa chạy</t>
        </is>
      </c>
      <c r="F16" s="4" t="inlineStr"/>
      <c r="G16" s="4" t="inlineStr"/>
    </row>
    <row r="17">
      <c r="A17" s="4" t="inlineStr">
        <is>
          <t>SMK-013</t>
        </is>
      </c>
      <c r="B17" s="4" t="inlineStr">
        <is>
          <t>Navigation</t>
        </is>
      </c>
      <c r="C17" s="4" t="inlineStr">
        <is>
          <t>Đi qua menu Course -&gt; Grade</t>
        </is>
      </c>
      <c r="D17" s="4" t="inlineStr">
        <is>
          <t>Các trang mở được, không có link hỏng</t>
        </is>
      </c>
      <c r="E17" s="4" t="inlineStr">
        <is>
          <t>Chưa chạy</t>
        </is>
      </c>
      <c r="F17" s="4" t="inlineStr"/>
      <c r="G17" s="4" t="inlineStr"/>
    </row>
    <row r="18">
      <c r="A18" s="4" t="inlineStr">
        <is>
          <t>SMK-014</t>
        </is>
      </c>
      <c r="B18" s="4" t="inlineStr">
        <is>
          <t>Error</t>
        </is>
      </c>
      <c r="C18" s="4" t="inlineStr">
        <is>
          <t>Mở Details với id không tồn tại</t>
        </is>
      </c>
      <c r="D18" s="4" t="inlineStr">
        <is>
          <t>Trả Not Found, không lộ stack trace</t>
        </is>
      </c>
      <c r="E18" s="4" t="inlineStr">
        <is>
          <t>Chưa chạy</t>
        </is>
      </c>
      <c r="F18" s="4" t="inlineStr"/>
      <c r="G18" s="4" t="inlineStr"/>
    </row>
  </sheetData>
  <mergeCells count="2">
    <mergeCell ref="A2:G2"/>
    <mergeCell ref="A1:G1"/>
  </mergeCells>
  <dataValidations count="1">
    <dataValidation sqref="E5:E18" showDropDown="0" showInputMessage="0" showErrorMessage="0" allowBlank="1" errorTitle="Giá trị không hợp lệ" error="Vui lòng chọn một giá trị trong danh sách." promptTitle="Danh sách lựa chọn" prompt="Chọn giá trị chuẩn." type="list">
      <formula1>"Chưa chạy,Pass,Fail,Blocked,N/A"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2" customWidth="1" min="3" max="3"/>
    <col width="62" customWidth="1" min="4" max="4"/>
    <col width="34" customWidth="1" min="5" max="5"/>
    <col width="14" customWidth="1" min="6" max="6"/>
    <col width="18" customWidth="1" min="7" max="7"/>
    <col width="34" customWidth="1" min="8" max="8"/>
  </cols>
  <sheetData>
    <row r="1" ht="28" customHeight="1">
      <c r="A1" s="1" t="inlineStr">
        <is>
          <t>REGRESSION CHECKLIST</t>
        </is>
      </c>
    </row>
    <row r="2" ht="30" customHeight="1">
      <c r="A2" s="2" t="inlineStr">
        <is>
          <t>Chọn checklist theo vùng thay đổi và chạy trước release/sign-off.</t>
        </is>
      </c>
    </row>
    <row r="4" ht="32" customHeight="1">
      <c r="A4" s="3" t="inlineStr">
        <is>
          <t>REG ID</t>
        </is>
      </c>
      <c r="B4" s="3" t="inlineStr">
        <is>
          <t>Vùng thay đổi</t>
        </is>
      </c>
      <c r="C4" s="3" t="inlineStr">
        <is>
          <t>Trigger</t>
        </is>
      </c>
      <c r="D4" s="3" t="inlineStr">
        <is>
          <t>Kiểm tra bắt buộc</t>
        </is>
      </c>
      <c r="E4" s="3" t="inlineStr">
        <is>
          <t>TC tham chiếu</t>
        </is>
      </c>
      <c r="F4" s="3" t="inlineStr">
        <is>
          <t>Trạng thái</t>
        </is>
      </c>
      <c r="G4" s="3" t="inlineStr">
        <is>
          <t>Người chạy</t>
        </is>
      </c>
      <c r="H4" s="3" t="inlineStr">
        <is>
          <t>Ghi chú</t>
        </is>
      </c>
    </row>
    <row r="5">
      <c r="A5" s="4" t="inlineStr">
        <is>
          <t>REG-001</t>
        </is>
      </c>
      <c r="B5" s="4" t="inlineStr">
        <is>
          <t>Auth</t>
        </is>
      </c>
      <c r="C5" s="4" t="inlineStr">
        <is>
          <t>Đổi login/cookie/claims</t>
        </is>
      </c>
      <c r="D5" s="4" t="inlineStr">
        <is>
          <t>Login 3 role, sai mật khẩu, ReturnUrl, logout, denied</t>
        </is>
      </c>
      <c r="E5" s="4" t="inlineStr">
        <is>
          <t>TC-AUTH-001..011</t>
        </is>
      </c>
      <c r="F5" s="4" t="inlineStr">
        <is>
          <t>Chưa chạy</t>
        </is>
      </c>
      <c r="G5" s="4" t="inlineStr"/>
      <c r="H5" s="4" t="inlineStr"/>
    </row>
    <row r="6">
      <c r="A6" s="4" t="inlineStr">
        <is>
          <t>REG-002</t>
        </is>
      </c>
      <c r="B6" s="4" t="inlineStr">
        <is>
          <t>Authorization</t>
        </is>
      </c>
      <c r="C6" s="4" t="inlineStr">
        <is>
          <t>Đổi role/policy/controller</t>
        </is>
      </c>
      <c r="D6" s="4" t="inlineStr">
        <is>
          <t>Anonymous redirect; SinhVien denied; Admin/GiaoVu allowed</t>
        </is>
      </c>
      <c r="E6" s="4" t="inlineStr">
        <is>
          <t>TC-AUTH-011; TC-COMMON-001</t>
        </is>
      </c>
      <c r="F6" s="4" t="inlineStr">
        <is>
          <t>Chưa chạy</t>
        </is>
      </c>
      <c r="G6" s="4" t="inlineStr"/>
      <c r="H6" s="4" t="inlineStr"/>
    </row>
    <row r="7">
      <c r="A7" s="4" t="inlineStr">
        <is>
          <t>REG-003</t>
        </is>
      </c>
      <c r="B7" s="4" t="inlineStr">
        <is>
          <t>Course</t>
        </is>
      </c>
      <c r="C7" s="4" t="inlineStr">
        <is>
          <t>Đổi model/controller/view Course</t>
        </is>
      </c>
      <c r="D7" s="4" t="inlineStr">
        <is>
          <t>CRUD, search, page, validation, ảnh, delete guard</t>
        </is>
      </c>
      <c r="E7" s="4" t="inlineStr">
        <is>
          <t>TC-COURSE-001..014</t>
        </is>
      </c>
      <c r="F7" s="4" t="inlineStr">
        <is>
          <t>Chưa chạy</t>
        </is>
      </c>
      <c r="G7" s="4" t="inlineStr"/>
      <c r="H7" s="4" t="inlineStr"/>
    </row>
    <row r="8">
      <c r="A8" s="4" t="inlineStr">
        <is>
          <t>REG-004</t>
        </is>
      </c>
      <c r="B8" s="4" t="inlineStr">
        <is>
          <t>Upload</t>
        </is>
      </c>
      <c r="C8" s="4" t="inlineStr">
        <is>
          <t>Đổi upload/static files</t>
        </is>
      </c>
      <c r="D8" s="4" t="inlineStr">
        <is>
          <t>Ảnh mới, ảnh mặc định, giữ/thay ảnh, đường dẫn hiển thị</t>
        </is>
      </c>
      <c r="E8" s="4" t="inlineStr">
        <is>
          <t>TC-COURSE-006..012</t>
        </is>
      </c>
      <c r="F8" s="4" t="inlineStr">
        <is>
          <t>Chưa chạy</t>
        </is>
      </c>
      <c r="G8" s="4" t="inlineStr"/>
      <c r="H8" s="4" t="inlineStr"/>
    </row>
    <row r="9">
      <c r="A9" s="4" t="inlineStr">
        <is>
          <t>REG-005</t>
        </is>
      </c>
      <c r="B9" s="4" t="inlineStr">
        <is>
          <t>Class</t>
        </is>
      </c>
      <c r="C9" s="4" t="inlineStr">
        <is>
          <t>Đổi model/controller/view Class</t>
        </is>
      </c>
      <c r="D9" s="4" t="inlineStr">
        <is>
          <t>CRUD, duplicate code, active course, capacity, delete guard</t>
        </is>
      </c>
      <c r="E9" s="4" t="inlineStr">
        <is>
          <t>TC-CLASS-001..014</t>
        </is>
      </c>
      <c r="F9" s="4" t="inlineStr">
        <is>
          <t>Chưa chạy</t>
        </is>
      </c>
      <c r="G9" s="4" t="inlineStr"/>
      <c r="H9" s="4" t="inlineStr"/>
    </row>
    <row r="10">
      <c r="A10" s="4" t="inlineStr">
        <is>
          <t>REG-006</t>
        </is>
      </c>
      <c r="B10" s="4" t="inlineStr">
        <is>
          <t>Enrollment</t>
        </is>
      </c>
      <c r="C10" s="4" t="inlineStr">
        <is>
          <t>Đổi ghi danh/học phí</t>
        </is>
      </c>
      <c r="D10" s="4" t="inlineStr">
        <is>
          <t>Duplicate, capacity, fee API, payment status, range, delete guard</t>
        </is>
      </c>
      <c r="E10" s="4" t="inlineStr">
        <is>
          <t>TC-ENROLLMENT-001..018</t>
        </is>
      </c>
      <c r="F10" s="4" t="inlineStr">
        <is>
          <t>Chưa chạy</t>
        </is>
      </c>
      <c r="G10" s="4" t="inlineStr"/>
      <c r="H10" s="4" t="inlineStr"/>
    </row>
    <row r="11">
      <c r="A11" s="4" t="inlineStr">
        <is>
          <t>REG-007</t>
        </is>
      </c>
      <c r="B11" s="4" t="inlineStr">
        <is>
          <t>Attendance</t>
        </is>
      </c>
      <c r="C11" s="4" t="inlineStr">
        <is>
          <t>Đổi sổ điểm danh</t>
        </is>
      </c>
      <c r="D11" s="4" t="inlineStr">
        <is>
          <t>Active students, default present, create/update, validation, delete</t>
        </is>
      </c>
      <c r="E11" s="4" t="inlineStr">
        <is>
          <t>TC-ATTENDANCE-001..012</t>
        </is>
      </c>
      <c r="F11" s="4" t="inlineStr">
        <is>
          <t>Chưa chạy</t>
        </is>
      </c>
      <c r="G11" s="4" t="inlineStr"/>
      <c r="H11" s="4" t="inlineStr"/>
    </row>
    <row r="12">
      <c r="A12" s="4" t="inlineStr">
        <is>
          <t>REG-008</t>
        </is>
      </c>
      <c r="B12" s="4" t="inlineStr">
        <is>
          <t>Grade</t>
        </is>
      </c>
      <c r="C12" s="4" t="inlineStr">
        <is>
          <t>Đổi sổ điểm/công thức</t>
        </is>
      </c>
      <c r="D12" s="4" t="inlineStr">
        <is>
          <t>Create/update/blank row, range, IELTS, TOEIC, average, delete</t>
        </is>
      </c>
      <c r="E12" s="4" t="inlineStr">
        <is>
          <t>TC-GRADE-001..015</t>
        </is>
      </c>
      <c r="F12" s="4" t="inlineStr">
        <is>
          <t>Chưa chạy</t>
        </is>
      </c>
      <c r="G12" s="4" t="inlineStr"/>
      <c r="H12" s="4" t="inlineStr"/>
    </row>
    <row r="13">
      <c r="A13" s="4" t="inlineStr">
        <is>
          <t>REG-009</t>
        </is>
      </c>
      <c r="B13" s="4" t="inlineStr">
        <is>
          <t>Search/filter</t>
        </is>
      </c>
      <c r="C13" s="4" t="inlineStr">
        <is>
          <t>Đổi query hoặc PagedList</t>
        </is>
      </c>
      <c r="D13" s="4" t="inlineStr">
        <is>
          <t>Search, combined filters, no result, giữ query khi chuyển trang</t>
        </is>
      </c>
      <c r="E13" s="4" t="inlineStr">
        <is>
          <t>Các TC list/search/page</t>
        </is>
      </c>
      <c r="F13" s="4" t="inlineStr">
        <is>
          <t>Chưa chạy</t>
        </is>
      </c>
      <c r="G13" s="4" t="inlineStr"/>
      <c r="H13" s="4" t="inlineStr"/>
    </row>
    <row r="14">
      <c r="A14" s="4" t="inlineStr">
        <is>
          <t>REG-010</t>
        </is>
      </c>
      <c r="B14" s="4" t="inlineStr">
        <is>
          <t>Data model</t>
        </is>
      </c>
      <c r="C14" s="4" t="inlineStr">
        <is>
          <t>Đổi entity/DbContext</t>
        </is>
      </c>
      <c r="D14" s="4" t="inlineStr">
        <is>
          <t>Startup DB, seed, CRUD liên quan và delete constraints</t>
        </is>
      </c>
      <c r="E14" s="4" t="inlineStr">
        <is>
          <t>TC-COMMON-005 + module CRUD</t>
        </is>
      </c>
      <c r="F14" s="4" t="inlineStr">
        <is>
          <t>Chưa chạy</t>
        </is>
      </c>
      <c r="G14" s="4" t="inlineStr"/>
      <c r="H14" s="4" t="inlineStr"/>
    </row>
    <row r="15">
      <c r="A15" s="4" t="inlineStr">
        <is>
          <t>REG-011</t>
        </is>
      </c>
      <c r="B15" s="4" t="inlineStr">
        <is>
          <t>Validation</t>
        </is>
      </c>
      <c r="C15" s="4" t="inlineStr">
        <is>
          <t>Đổi DataAnnotations/view form</t>
        </is>
      </c>
      <c r="D15" s="4" t="inlineStr">
        <is>
          <t>Required, min/max, max length, invalid POST giữ dữ liệu</t>
        </is>
      </c>
      <c r="E15" s="4" t="inlineStr">
        <is>
          <t>Các TC Validation/Boundary</t>
        </is>
      </c>
      <c r="F15" s="4" t="inlineStr">
        <is>
          <t>Chưa chạy</t>
        </is>
      </c>
      <c r="G15" s="4" t="inlineStr"/>
      <c r="H15" s="4" t="inlineStr"/>
    </row>
    <row r="16">
      <c r="A16" s="4" t="inlineStr">
        <is>
          <t>REG-012</t>
        </is>
      </c>
      <c r="B16" s="4" t="inlineStr">
        <is>
          <t>Navigation/layout</t>
        </is>
      </c>
      <c r="C16" s="4" t="inlineStr">
        <is>
          <t>Đổi shared view/CSS/JS</t>
        </is>
      </c>
      <c r="D16" s="4" t="inlineStr">
        <is>
          <t>Menu, validation scripts, desktop viewport, thao tác bàn phím</t>
        </is>
      </c>
      <c r="E16" s="4" t="inlineStr">
        <is>
          <t>TC-COMMON-006</t>
        </is>
      </c>
      <c r="F16" s="4" t="inlineStr">
        <is>
          <t>Chưa chạy</t>
        </is>
      </c>
      <c r="G16" s="4" t="inlineStr"/>
      <c r="H16" s="4" t="inlineStr"/>
    </row>
    <row r="17">
      <c r="A17" s="4" t="inlineStr">
        <is>
          <t>REG-013</t>
        </is>
      </c>
      <c r="B17" s="4" t="inlineStr">
        <is>
          <t>Package/runtime</t>
        </is>
      </c>
      <c r="C17" s="4" t="inlineStr">
        <is>
          <t>Nâng .NET/NuGet</t>
        </is>
      </c>
      <c r="D17" s="4" t="inlineStr">
        <is>
          <t>Restore, build, startup, auth, full smoke</t>
        </is>
      </c>
      <c r="E17" s="4" t="inlineStr">
        <is>
          <t>TC-COMMON-004; SMK-001..014</t>
        </is>
      </c>
      <c r="F17" s="4" t="inlineStr">
        <is>
          <t>Chưa chạy</t>
        </is>
      </c>
      <c r="G17" s="4" t="inlineStr"/>
      <c r="H17" s="4" t="inlineStr"/>
    </row>
    <row r="18">
      <c r="A18" s="4" t="inlineStr">
        <is>
          <t>REG-014</t>
        </is>
      </c>
      <c r="B18" s="4" t="inlineStr">
        <is>
          <t>Bug fix</t>
        </is>
      </c>
      <c r="C18" s="4" t="inlineStr">
        <is>
          <t>Retest một bug</t>
        </is>
      </c>
      <c r="D18" s="4" t="inlineStr">
        <is>
          <t>Chạy linked TC, case biên lân cận và module smoke</t>
        </is>
      </c>
      <c r="E18" s="4" t="inlineStr">
        <is>
          <t>Theo Bug Log</t>
        </is>
      </c>
      <c r="F18" s="4" t="inlineStr">
        <is>
          <t>Chưa chạy</t>
        </is>
      </c>
      <c r="G18" s="4" t="inlineStr"/>
      <c r="H18" s="4" t="inlineStr"/>
    </row>
  </sheetData>
  <mergeCells count="2">
    <mergeCell ref="A2:H2"/>
    <mergeCell ref="A1:H1"/>
  </mergeCells>
  <dataValidations count="1">
    <dataValidation sqref="F5:F18" showDropDown="0" showInputMessage="0" showErrorMessage="0" allowBlank="1" errorTitle="Giá trị không hợp lệ" error="Vui lòng chọn một giá trị trong danh sách." promptTitle="Danh sách lựa chọn" prompt="Chọn giá trị chuẩn." type="list">
      <formula1>"Chưa chạy,Pass,Fail,Blocked,N/A"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14" customWidth="1" min="4" max="4"/>
    <col width="38" customWidth="1" min="5" max="5"/>
    <col width="52" customWidth="1" min="6" max="6"/>
    <col width="45" customWidth="1" min="7" max="7"/>
    <col width="45" customWidth="1" min="8" max="8"/>
    <col width="18" customWidth="1" min="9" max="9"/>
    <col width="18" customWidth="1" min="10" max="10"/>
    <col width="14" customWidth="1" min="11" max="11"/>
    <col width="14" customWidth="1" min="12" max="12"/>
    <col width="32" customWidth="1" min="13" max="13"/>
  </cols>
  <sheetData>
    <row r="1" ht="28" customHeight="1">
      <c r="A1" s="1" t="inlineStr">
        <is>
          <t>BUG LOG</t>
        </is>
      </c>
    </row>
    <row r="2" ht="30" customHeight="1">
      <c r="A2" s="2" t="inlineStr">
        <is>
          <t>Mỗi test Fail cần một bug liên kết. Có sẵn 30 dòng nhập liệu.</t>
        </is>
      </c>
    </row>
    <row r="4" ht="32" customHeight="1">
      <c r="A4" s="3" t="inlineStr">
        <is>
          <t>Bug ID</t>
        </is>
      </c>
      <c r="B4" s="3" t="inlineStr">
        <is>
          <t>Linked TC</t>
        </is>
      </c>
      <c r="C4" s="3" t="inlineStr">
        <is>
          <t>Module</t>
        </is>
      </c>
      <c r="D4" s="3" t="inlineStr">
        <is>
          <t>Severity</t>
        </is>
      </c>
      <c r="E4" s="3" t="inlineStr">
        <is>
          <t>Tiêu đề</t>
        </is>
      </c>
      <c r="F4" s="3" t="inlineStr">
        <is>
          <t>Bước tái hiện</t>
        </is>
      </c>
      <c r="G4" s="3" t="inlineStr">
        <is>
          <t>Kết quả mong đợi</t>
        </is>
      </c>
      <c r="H4" s="3" t="inlineStr">
        <is>
          <t>Kết quả thực tế</t>
        </is>
      </c>
      <c r="I4" s="3" t="inlineStr">
        <is>
          <t>Owner</t>
        </is>
      </c>
      <c r="J4" s="3" t="inlineStr">
        <is>
          <t>Trạng thái</t>
        </is>
      </c>
      <c r="K4" s="3" t="inlineStr">
        <is>
          <t>Ngày tạo</t>
        </is>
      </c>
      <c r="L4" s="3" t="inlineStr">
        <is>
          <t>Ngày retest</t>
        </is>
      </c>
      <c r="M4" s="3" t="inlineStr">
        <is>
          <t>Ghi chú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</row>
  </sheetData>
  <mergeCells count="2">
    <mergeCell ref="A2:M2"/>
    <mergeCell ref="A1:M1"/>
  </mergeCells>
  <dataValidations count="3">
    <dataValidation sqref="C5:C34" showDropDown="0" showInputMessage="0" showErrorMessage="0" allowBlank="1" errorTitle="Giá trị không hợp lệ" error="Vui lòng chọn một giá trị trong danh sách." promptTitle="Danh sách lựa chọn" prompt="Chọn giá trị chuẩn." type="list">
      <formula1>"Auth,Course,Class,Enrollment,Attendance,Grade,Common"</formula1>
    </dataValidation>
    <dataValidation sqref="D5:D34" showDropDown="0" showInputMessage="0" showErrorMessage="0" allowBlank="1" errorTitle="Giá trị không hợp lệ" error="Vui lòng chọn một giá trị trong danh sách." promptTitle="Danh sách lựa chọn" prompt="Chọn giá trị chuẩn." type="list">
      <formula1>"Blocker,Critical,High,Medium,Low"</formula1>
    </dataValidation>
    <dataValidation sqref="J5:J34" showDropDown="0" showInputMessage="0" showErrorMessage="0" allowBlank="1" errorTitle="Giá trị không hợp lệ" error="Vui lòng chọn một giá trị trong danh sách." promptTitle="Danh sách lựa chọn" prompt="Chọn giá trị chuẩn." type="list">
      <formula1>"Open,In Progress,Ready to Retest,Closed,Rejected,Deferred"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58" customWidth="1" min="3" max="3"/>
    <col width="18" customWidth="1" min="4" max="4"/>
    <col width="5" customWidth="1" min="5" max="5"/>
    <col width="16" customWidth="1" min="6" max="6"/>
    <col width="14" customWidth="1" min="7" max="7"/>
    <col width="34" customWidth="1" min="8" max="8"/>
  </cols>
  <sheetData>
    <row r="1" ht="28" customHeight="1">
      <c r="A1" s="1" t="inlineStr">
        <is>
          <t>TEST SUMMARY &amp; SIGN-OFF</t>
        </is>
      </c>
    </row>
    <row r="2" ht="30" customHeight="1">
      <c r="A2" s="2" t="inlineStr">
        <is>
          <t>Công thức tự cập nhật từ Test Cases và Bug Log khi mở bằng Excel/LibreOffice.</t>
        </is>
      </c>
    </row>
    <row r="4" ht="32" customHeight="1">
      <c r="A4" s="3" t="inlineStr">
        <is>
          <t>Chỉ số</t>
        </is>
      </c>
      <c r="B4" s="3" t="inlineStr">
        <is>
          <t>Giá trị</t>
        </is>
      </c>
      <c r="C4" s="3" t="inlineStr">
        <is>
          <t>Tiêu chí</t>
        </is>
      </c>
      <c r="D4" s="3" t="inlineStr">
        <is>
          <t>Đánh giá</t>
        </is>
      </c>
      <c r="E4" t="inlineStr"/>
      <c r="F4" s="3" t="inlineStr">
        <is>
          <t>Module</t>
        </is>
      </c>
      <c r="G4" s="3" t="inlineStr">
        <is>
          <t>Tổng TC</t>
        </is>
      </c>
      <c r="H4" s="3" t="inlineStr">
        <is>
          <t>Pass/Fail/Blocked/Chưa chạy</t>
        </is>
      </c>
    </row>
    <row r="5">
      <c r="A5" s="4" t="inlineStr">
        <is>
          <t>Tổng test case</t>
        </is>
      </c>
      <c r="B5" s="4">
        <f>COUNTA('Test Cases'!A:A)-3</f>
        <v/>
      </c>
      <c r="C5" s="4" t="inlineStr">
        <is>
          <t>90 baseline</t>
        </is>
      </c>
      <c r="D5" s="4">
        <f>IF(B5=90,"OK","Kiểm tra")</f>
        <v/>
      </c>
      <c r="F5" s="4" t="inlineStr">
        <is>
          <t>Auth</t>
        </is>
      </c>
      <c r="G5" s="4">
        <f>COUNTIF('Test Cases'!$B:$B,F5)</f>
        <v/>
      </c>
      <c r="H5" s="4">
        <f>COUNTIFS('Test Cases'!$B:$B,F5,'Test Cases'!$L:$L,"Pass")&amp;" / "&amp;COUNTIFS('Test Cases'!$B:$B,F5,'Test Cases'!$L:$L,"Fail")&amp;" / "&amp;COUNTIFS('Test Cases'!$B:$B,F5,'Test Cases'!$L:$L,"Blocked")&amp;" / "&amp;COUNTIFS('Test Cases'!$B:$B,F5,'Test Cases'!$L:$L,"Chưa chạy")</f>
        <v/>
      </c>
    </row>
    <row r="6">
      <c r="A6" s="4" t="inlineStr">
        <is>
          <t>Pass</t>
        </is>
      </c>
      <c r="B6" s="4">
        <f>COUNTIF('Test Cases'!L:L,"Pass")</f>
        <v/>
      </c>
      <c r="C6" s="4" t="inlineStr">
        <is>
          <t>Theo kết quả chạy</t>
        </is>
      </c>
      <c r="D6" s="4" t="inlineStr"/>
      <c r="F6" s="4" t="inlineStr">
        <is>
          <t>Course</t>
        </is>
      </c>
      <c r="G6" s="4">
        <f>COUNTIF('Test Cases'!$B:$B,F6)</f>
        <v/>
      </c>
      <c r="H6" s="4">
        <f>COUNTIFS('Test Cases'!$B:$B,F6,'Test Cases'!$L:$L,"Pass")&amp;" / "&amp;COUNTIFS('Test Cases'!$B:$B,F6,'Test Cases'!$L:$L,"Fail")&amp;" / "&amp;COUNTIFS('Test Cases'!$B:$B,F6,'Test Cases'!$L:$L,"Blocked")&amp;" / "&amp;COUNTIFS('Test Cases'!$B:$B,F6,'Test Cases'!$L:$L,"Chưa chạy")</f>
        <v/>
      </c>
    </row>
    <row r="7">
      <c r="A7" s="4" t="inlineStr">
        <is>
          <t>Fail</t>
        </is>
      </c>
      <c r="B7" s="4">
        <f>COUNTIF('Test Cases'!L:L,"Fail")</f>
        <v/>
      </c>
      <c r="C7" s="4" t="inlineStr">
        <is>
          <t>Mỗi Fail có Bug Log</t>
        </is>
      </c>
      <c r="D7" s="4">
        <f>IF(B7=0,"OK","Có lỗi")</f>
        <v/>
      </c>
      <c r="F7" s="4" t="inlineStr">
        <is>
          <t>Class</t>
        </is>
      </c>
      <c r="G7" s="4">
        <f>COUNTIF('Test Cases'!$B:$B,F7)</f>
        <v/>
      </c>
      <c r="H7" s="4">
        <f>COUNTIFS('Test Cases'!$B:$B,F7,'Test Cases'!$L:$L,"Pass")&amp;" / "&amp;COUNTIFS('Test Cases'!$B:$B,F7,'Test Cases'!$L:$L,"Fail")&amp;" / "&amp;COUNTIFS('Test Cases'!$B:$B,F7,'Test Cases'!$L:$L,"Blocked")&amp;" / "&amp;COUNTIFS('Test Cases'!$B:$B,F7,'Test Cases'!$L:$L,"Chưa chạy")</f>
        <v/>
      </c>
    </row>
    <row r="8">
      <c r="A8" s="4" t="inlineStr">
        <is>
          <t>Blocked</t>
        </is>
      </c>
      <c r="B8" s="4">
        <f>COUNTIF('Test Cases'!L:L,"Blocked")</f>
        <v/>
      </c>
      <c r="C8" s="4" t="inlineStr">
        <is>
          <t>Phải có nguyên nhân</t>
        </is>
      </c>
      <c r="D8" s="4">
        <f>IF(B8=0,"OK","Cần xử lý")</f>
        <v/>
      </c>
      <c r="F8" s="4" t="inlineStr">
        <is>
          <t>Enrollment</t>
        </is>
      </c>
      <c r="G8" s="4">
        <f>COUNTIF('Test Cases'!$B:$B,F8)</f>
        <v/>
      </c>
      <c r="H8" s="4">
        <f>COUNTIFS('Test Cases'!$B:$B,F8,'Test Cases'!$L:$L,"Pass")&amp;" / "&amp;COUNTIFS('Test Cases'!$B:$B,F8,'Test Cases'!$L:$L,"Fail")&amp;" / "&amp;COUNTIFS('Test Cases'!$B:$B,F8,'Test Cases'!$L:$L,"Blocked")&amp;" / "&amp;COUNTIFS('Test Cases'!$B:$B,F8,'Test Cases'!$L:$L,"Chưa chạy")</f>
        <v/>
      </c>
    </row>
    <row r="9">
      <c r="A9" s="4" t="inlineStr">
        <is>
          <t>Chưa chạy</t>
        </is>
      </c>
      <c r="B9" s="4">
        <f>COUNTIF('Test Cases'!L:L,"Chưa chạy")</f>
        <v/>
      </c>
      <c r="C9" s="4" t="inlineStr">
        <is>
          <t>0 trước sign-off</t>
        </is>
      </c>
      <c r="D9" s="4">
        <f>IF(B9=0,"OK","Chưa hoàn tất")</f>
        <v/>
      </c>
      <c r="F9" s="4" t="inlineStr">
        <is>
          <t>Attendance</t>
        </is>
      </c>
      <c r="G9" s="4">
        <f>COUNTIF('Test Cases'!$B:$B,F9)</f>
        <v/>
      </c>
      <c r="H9" s="4">
        <f>COUNTIFS('Test Cases'!$B:$B,F9,'Test Cases'!$L:$L,"Pass")&amp;" / "&amp;COUNTIFS('Test Cases'!$B:$B,F9,'Test Cases'!$L:$L,"Fail")&amp;" / "&amp;COUNTIFS('Test Cases'!$B:$B,F9,'Test Cases'!$L:$L,"Blocked")&amp;" / "&amp;COUNTIFS('Test Cases'!$B:$B,F9,'Test Cases'!$L:$L,"Chưa chạy")</f>
        <v/>
      </c>
    </row>
    <row r="10">
      <c r="A10" s="4" t="inlineStr">
        <is>
          <t>N/A</t>
        </is>
      </c>
      <c r="B10" s="4">
        <f>COUNTIF('Test Cases'!L:L,"N/A")</f>
        <v/>
      </c>
      <c r="C10" s="4" t="inlineStr">
        <is>
          <t>Có lý do trong Note</t>
        </is>
      </c>
      <c r="D10" s="4" t="inlineStr"/>
      <c r="F10" s="4" t="inlineStr">
        <is>
          <t>Grade</t>
        </is>
      </c>
      <c r="G10" s="4">
        <f>COUNTIF('Test Cases'!$B:$B,F10)</f>
        <v/>
      </c>
      <c r="H10" s="4">
        <f>COUNTIFS('Test Cases'!$B:$B,F10,'Test Cases'!$L:$L,"Pass")&amp;" / "&amp;COUNTIFS('Test Cases'!$B:$B,F10,'Test Cases'!$L:$L,"Fail")&amp;" / "&amp;COUNTIFS('Test Cases'!$B:$B,F10,'Test Cases'!$L:$L,"Blocked")&amp;" / "&amp;COUNTIFS('Test Cases'!$B:$B,F10,'Test Cases'!$L:$L,"Chưa chạy")</f>
        <v/>
      </c>
    </row>
    <row r="11">
      <c r="A11" s="4" t="inlineStr">
        <is>
          <t>Pass rate</t>
        </is>
      </c>
      <c r="B11" s="5">
        <f>IFERROR(B6/(B5-B9-B10),0)</f>
        <v/>
      </c>
      <c r="C11" s="4" t="inlineStr">
        <is>
          <t>&gt;= 95%</t>
        </is>
      </c>
      <c r="D11" s="4">
        <f>IF(B11&gt;=95%,"Đạt","Chưa đạt")</f>
        <v/>
      </c>
      <c r="F11" s="4" t="inlineStr">
        <is>
          <t>Common</t>
        </is>
      </c>
      <c r="G11" s="4">
        <f>COUNTIF('Test Cases'!$B:$B,F11)</f>
        <v/>
      </c>
      <c r="H11" s="4">
        <f>COUNTIFS('Test Cases'!$B:$B,F11,'Test Cases'!$L:$L,"Pass")&amp;" / "&amp;COUNTIFS('Test Cases'!$B:$B,F11,'Test Cases'!$L:$L,"Fail")&amp;" / "&amp;COUNTIFS('Test Cases'!$B:$B,F11,'Test Cases'!$L:$L,"Blocked")&amp;" / "&amp;COUNTIFS('Test Cases'!$B:$B,F11,'Test Cases'!$L:$L,"Chưa chạy")</f>
        <v/>
      </c>
    </row>
    <row r="12">
      <c r="A12" s="4" t="inlineStr">
        <is>
          <t>Smoke pass</t>
        </is>
      </c>
      <c r="B12" s="4">
        <f>COUNTIF('Smoke Checklist'!E:E,"Pass")</f>
        <v/>
      </c>
      <c r="C12" s="4" t="inlineStr">
        <is>
          <t>14/14</t>
        </is>
      </c>
      <c r="D12" s="4">
        <f>IF(B12=14,"Đạt","Chưa đạt")</f>
        <v/>
      </c>
    </row>
    <row r="13">
      <c r="A13" s="4" t="inlineStr">
        <is>
          <t>Bug Blocker/Critical mở</t>
        </is>
      </c>
      <c r="B13" s="4">
        <f>COUNTIFS('Bug Log'!D:D,"Blocker",'Bug Log'!J:J,"&lt;&gt;Closed",'Bug Log'!A:A,"&lt;&gt;")+COUNTIFS('Bug Log'!D:D,"Critical",'Bug Log'!J:J,"&lt;&gt;Closed",'Bug Log'!A:A,"&lt;&gt;")</f>
        <v/>
      </c>
      <c r="C13" s="4" t="inlineStr">
        <is>
          <t>0</t>
        </is>
      </c>
      <c r="D13" s="4">
        <f>IF(B13=0,"Đạt","Chưa đạt")</f>
        <v/>
      </c>
    </row>
    <row r="14">
      <c r="A14" s="4" t="inlineStr">
        <is>
          <t>Build</t>
        </is>
      </c>
      <c r="B14" s="4" t="inlineStr">
        <is>
          <t>Pass</t>
        </is>
      </c>
      <c r="C14" s="4" t="inlineStr">
        <is>
          <t>Exit code 0</t>
        </is>
      </c>
      <c r="D14" s="4" t="inlineStr">
        <is>
          <t>Đạt</t>
        </is>
      </c>
    </row>
    <row r="15">
      <c r="A15" s="4" t="inlineStr">
        <is>
          <t>Exit gate tổng</t>
        </is>
      </c>
      <c r="B15" s="4">
        <f>IF(AND(B11&gt;=95%,B12=14,B13=0,B8=0,B9=0),"Đạt","Chưa đạt")</f>
        <v/>
      </c>
      <c r="C15" s="4" t="inlineStr">
        <is>
          <t>Functional &gt;=95%; Smoke 100%; không Blocker/Critical; không Blocked/Chưa chạy</t>
        </is>
      </c>
      <c r="D15" s="4" t="inlineStr"/>
    </row>
    <row r="17">
      <c r="A17" s="6" t="inlineStr">
        <is>
          <t>Module risk / nhận xét</t>
        </is>
      </c>
      <c r="B17" s="4" t="inlineStr">
        <is>
          <t>QA cập nhật sau vòng test: module rủi ro cao, bug còn mở, phạm vi chưa chạy.</t>
        </is>
      </c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inlineStr">
        <is>
          <t>QA sign-off</t>
        </is>
      </c>
      <c r="B19" s="4" t="inlineStr"/>
      <c r="C19" s="4" t="n"/>
      <c r="D19" s="4" t="inlineStr">
        <is>
          <t>Ngày</t>
        </is>
      </c>
      <c r="E19" s="4" t="inlineStr"/>
      <c r="F19" s="4" t="n"/>
      <c r="G19" s="4" t="n"/>
      <c r="H19" s="4" t="n"/>
    </row>
    <row r="20">
      <c r="A20" s="4" t="inlineStr">
        <is>
          <t>Project sign-off</t>
        </is>
      </c>
      <c r="B20" s="4" t="inlineStr"/>
      <c r="C20" s="4" t="n"/>
      <c r="D20" s="4" t="inlineStr">
        <is>
          <t>Ngày</t>
        </is>
      </c>
      <c r="E20" s="4" t="inlineStr"/>
      <c r="F20" s="4" t="n"/>
      <c r="G20" s="4" t="n"/>
      <c r="H20" s="4" t="n"/>
    </row>
  </sheetData>
  <mergeCells count="3">
    <mergeCell ref="A2:H2"/>
    <mergeCell ref="B17:H1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English Center Project Team</dc:creator>
  <dc:title>English Center MVC - QA Test Cases</dc:title>
  <dc:description>Vietnamese QA workbook generated from the current MVC business rules.</dc:description>
  <dc:subject>Waterfall QA baseline and traceability</dc:subject>
  <dcterms:created xsi:type="dcterms:W3CDTF">2026-09-23T12:27:07Z</dcterms:created>
  <dcterms:modified xsi:type="dcterms:W3CDTF">2026-09-23T12:27:07Z</dcterms:modified>
</cp:coreProperties>
</file>